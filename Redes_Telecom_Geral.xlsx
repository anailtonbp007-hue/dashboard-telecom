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C:\Users\t4011276\Downloads\"/>
    </mc:Choice>
  </mc:AlternateContent>
  <xr:revisionPtr revIDLastSave="0" documentId="13_ncr:1_{8CBC1952-0ED8-4F4A-AF0B-44FAEE0F8015}" xr6:coauthVersionLast="47" xr6:coauthVersionMax="47" xr10:uidLastSave="{00000000-0000-0000-0000-000000000000}"/>
  <bookViews>
    <workbookView xWindow="-120" yWindow="-120" windowWidth="20730" windowHeight="11040" firstSheet="10" activeTab="14" xr2:uid="{00000000-000D-0000-FFFF-FFFF00000000}"/>
  </bookViews>
  <sheets>
    <sheet name="Dash_Lojas" sheetId="8" r:id="rId1"/>
    <sheet name="Info_Loja" sheetId="12" state="hidden" r:id="rId2"/>
    <sheet name="Telefonia Fixa" sheetId="10" state="hidden" r:id="rId3"/>
    <sheet name="Telefonia Ip - Lojas" sheetId="9" state="hidden" r:id="rId4"/>
    <sheet name="EC-Tivit-CDs" sheetId="3" state="hidden" r:id="rId5"/>
    <sheet name="Telefonia Móvel" sheetId="11" state="hidden" r:id="rId6"/>
    <sheet name="Dash_Custo" sheetId="15" r:id="rId7"/>
    <sheet name="Dash-EC-EQX-CDs " sheetId="5" r:id="rId8"/>
    <sheet name="Espelho EC-CDs-2025" sheetId="13" state="hidden" r:id="rId9"/>
    <sheet name="PPOE Lojas" sheetId="7" state="hidden" r:id="rId10"/>
    <sheet name="Por Loja" sheetId="2" r:id="rId11"/>
    <sheet name="Ips Link Novos" sheetId="6" r:id="rId12"/>
    <sheet name="Detalhes EC-EQX-CDs" sheetId="14" r:id="rId13"/>
    <sheet name="Detalhes Links Lojas" sheetId="4" r:id="rId14"/>
    <sheet name="Resumo_Links" sheetId="1" r:id="rId15"/>
  </sheets>
  <externalReferences>
    <externalReference r:id="rId16"/>
  </externalReferences>
  <definedNames>
    <definedName name="_xlnm._FilterDatabase" localSheetId="13" hidden="1">'Detalhes Links Lojas'!$A$1:$AH$216</definedName>
    <definedName name="_xlnm._FilterDatabase" localSheetId="1" hidden="1">Info_Loja!$A$1:$L$233</definedName>
    <definedName name="_xlnm._FilterDatabase" localSheetId="11" hidden="1">'Ips Link Novos'!$A$2:$H$299</definedName>
    <definedName name="_xlnm._FilterDatabase" localSheetId="10" hidden="1">'Por Loja'!$A$1:$C$217</definedName>
    <definedName name="_xlnm._FilterDatabase" localSheetId="14" hidden="1">Resumo_Links!$A$1:$F$1</definedName>
    <definedName name="_xlnm._FilterDatabase" localSheetId="5" hidden="1">'Telefonia Móvel'!$A$1:$P$1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5" i="1"/>
  <c r="D17" i="1"/>
  <c r="D18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H6" i="15"/>
  <c r="G6" i="15"/>
  <c r="C7" i="15"/>
  <c r="B7" i="15"/>
  <c r="H12" i="15"/>
  <c r="H9" i="15"/>
  <c r="H8" i="15"/>
  <c r="H7" i="15"/>
  <c r="H5" i="15"/>
  <c r="H4" i="15"/>
  <c r="C4" i="15"/>
  <c r="G8" i="15"/>
  <c r="G9" i="15"/>
  <c r="G7" i="15"/>
  <c r="G5" i="15"/>
  <c r="G4" i="15"/>
  <c r="B4" i="15"/>
  <c r="K19" i="5"/>
  <c r="G16" i="5"/>
  <c r="G15" i="5"/>
  <c r="G14" i="5"/>
  <c r="G13" i="5"/>
  <c r="G12" i="5"/>
  <c r="G11" i="5"/>
  <c r="F16" i="5"/>
  <c r="F15" i="5"/>
  <c r="F14" i="5"/>
  <c r="F13" i="5"/>
  <c r="F12" i="5"/>
  <c r="F11" i="5"/>
  <c r="E16" i="5"/>
  <c r="E15" i="5"/>
  <c r="K15" i="5" s="1"/>
  <c r="E14" i="5"/>
  <c r="E13" i="5"/>
  <c r="E12" i="5"/>
  <c r="E11" i="5"/>
  <c r="D16" i="5"/>
  <c r="D15" i="5"/>
  <c r="D14" i="5"/>
  <c r="D13" i="5"/>
  <c r="D12" i="5"/>
  <c r="D11" i="5"/>
  <c r="D10" i="5"/>
  <c r="D3" i="5"/>
  <c r="D9" i="5"/>
  <c r="D8" i="5"/>
  <c r="K14" i="5" s="1"/>
  <c r="D7" i="5"/>
  <c r="D6" i="5"/>
  <c r="D5" i="5"/>
  <c r="D4" i="5"/>
  <c r="G9" i="5"/>
  <c r="G8" i="5"/>
  <c r="G7" i="5"/>
  <c r="G6" i="5"/>
  <c r="G5" i="5"/>
  <c r="G4" i="5"/>
  <c r="G3" i="5"/>
  <c r="E9" i="5"/>
  <c r="E8" i="5"/>
  <c r="E7" i="5"/>
  <c r="E6" i="5"/>
  <c r="E5" i="5"/>
  <c r="E4" i="5"/>
  <c r="E3" i="5"/>
  <c r="F9" i="5"/>
  <c r="F8" i="5"/>
  <c r="F7" i="5"/>
  <c r="F6" i="5"/>
  <c r="F5" i="5"/>
  <c r="F4" i="5"/>
  <c r="F3" i="5"/>
  <c r="C8" i="8"/>
  <c r="L19" i="8"/>
  <c r="K19" i="8"/>
  <c r="M19" i="8"/>
  <c r="G19" i="8"/>
  <c r="I13" i="8"/>
  <c r="I9" i="15"/>
  <c r="C20" i="15"/>
  <c r="C19" i="15"/>
  <c r="C18" i="15"/>
  <c r="C17" i="15"/>
  <c r="C16" i="15"/>
  <c r="C15" i="15"/>
  <c r="C14" i="15"/>
  <c r="C13" i="15"/>
  <c r="B20" i="15"/>
  <c r="B19" i="15"/>
  <c r="B18" i="15"/>
  <c r="B17" i="15"/>
  <c r="B16" i="15"/>
  <c r="B15" i="15"/>
  <c r="B14" i="15"/>
  <c r="B13" i="15"/>
  <c r="B12" i="15"/>
  <c r="C12" i="15"/>
  <c r="C11" i="15"/>
  <c r="C10" i="15"/>
  <c r="D12" i="15"/>
  <c r="D13" i="15"/>
  <c r="D14" i="15"/>
  <c r="B11" i="15"/>
  <c r="D11" i="15" s="1"/>
  <c r="C8" i="15"/>
  <c r="C6" i="15"/>
  <c r="C5" i="15"/>
  <c r="C9" i="15"/>
  <c r="L6" i="8"/>
  <c r="I3" i="8"/>
  <c r="B10" i="15"/>
  <c r="D10" i="15" s="1"/>
  <c r="B9" i="15"/>
  <c r="B8" i="15"/>
  <c r="B6" i="15"/>
  <c r="B5" i="15"/>
  <c r="D15" i="15"/>
  <c r="D16" i="15"/>
  <c r="D17" i="15"/>
  <c r="D18" i="15"/>
  <c r="D19" i="15"/>
  <c r="D20" i="15"/>
  <c r="B21" i="15"/>
  <c r="C2" i="1"/>
  <c r="C12" i="8"/>
  <c r="D11" i="8"/>
  <c r="C18" i="1"/>
  <c r="B18" i="1"/>
  <c r="C17" i="1"/>
  <c r="C11" i="8"/>
  <c r="K5" i="5"/>
  <c r="K4" i="5"/>
  <c r="J20" i="5"/>
  <c r="J10" i="5"/>
  <c r="B17" i="1"/>
  <c r="C16" i="1"/>
  <c r="V6" i="14"/>
  <c r="V3" i="14"/>
  <c r="V4" i="14"/>
  <c r="V5" i="14"/>
  <c r="V2" i="14"/>
  <c r="L3" i="8"/>
  <c r="E11" i="8"/>
  <c r="E10" i="8"/>
  <c r="E9" i="8"/>
  <c r="B16" i="1"/>
  <c r="M22" i="13"/>
  <c r="N21" i="13"/>
  <c r="N20" i="13"/>
  <c r="N19" i="13"/>
  <c r="N18" i="13"/>
  <c r="N17" i="13"/>
  <c r="N16" i="13"/>
  <c r="N22" i="13" s="1"/>
  <c r="M12" i="13"/>
  <c r="N11" i="13"/>
  <c r="N10" i="13"/>
  <c r="N9" i="13"/>
  <c r="N8" i="13"/>
  <c r="N7" i="13"/>
  <c r="N6" i="13"/>
  <c r="N5" i="13"/>
  <c r="N4" i="13"/>
  <c r="N12" i="13" s="1"/>
  <c r="C13" i="1"/>
  <c r="K9" i="5"/>
  <c r="H19" i="8"/>
  <c r="F19" i="8"/>
  <c r="E3" i="8"/>
  <c r="B3" i="8"/>
  <c r="I12" i="8"/>
  <c r="D20" i="8"/>
  <c r="B19" i="8"/>
  <c r="D19" i="8"/>
  <c r="C19" i="8"/>
  <c r="D12" i="8"/>
  <c r="P72" i="11"/>
  <c r="P70" i="11"/>
  <c r="P24" i="11"/>
  <c r="P22" i="11"/>
  <c r="P21" i="11"/>
  <c r="C13" i="8"/>
  <c r="I9" i="8"/>
  <c r="I8" i="8"/>
  <c r="I7" i="8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16" i="11"/>
  <c r="P117" i="11"/>
  <c r="P118" i="11"/>
  <c r="P119" i="11"/>
  <c r="P109" i="11"/>
  <c r="P110" i="11"/>
  <c r="P111" i="11"/>
  <c r="P112" i="11"/>
  <c r="P113" i="11"/>
  <c r="P114" i="11"/>
  <c r="P115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82" i="11"/>
  <c r="P83" i="11"/>
  <c r="P84" i="11"/>
  <c r="P85" i="11"/>
  <c r="P86" i="11"/>
  <c r="P87" i="11"/>
  <c r="P88" i="11"/>
  <c r="P89" i="11"/>
  <c r="P90" i="11"/>
  <c r="P91" i="11"/>
  <c r="P76" i="11"/>
  <c r="P77" i="11"/>
  <c r="P78" i="11"/>
  <c r="P79" i="11"/>
  <c r="P80" i="11"/>
  <c r="P81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54" i="11"/>
  <c r="P55" i="11"/>
  <c r="P56" i="11"/>
  <c r="P57" i="11"/>
  <c r="P52" i="11"/>
  <c r="P43" i="11"/>
  <c r="P44" i="11"/>
  <c r="P45" i="11"/>
  <c r="P46" i="11"/>
  <c r="P47" i="11"/>
  <c r="P31" i="11"/>
  <c r="P32" i="11"/>
  <c r="P33" i="11"/>
  <c r="P34" i="11"/>
  <c r="P35" i="11"/>
  <c r="P36" i="11"/>
  <c r="P37" i="11"/>
  <c r="P38" i="11"/>
  <c r="P29" i="11"/>
  <c r="P30" i="11"/>
  <c r="P27" i="11"/>
  <c r="P2" i="11"/>
  <c r="P3" i="11"/>
  <c r="P18" i="11"/>
  <c r="P19" i="11"/>
  <c r="P16" i="11"/>
  <c r="P17" i="11"/>
  <c r="P9" i="11"/>
  <c r="P10" i="11"/>
  <c r="P11" i="11"/>
  <c r="P12" i="11"/>
  <c r="P13" i="1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" i="4"/>
  <c r="P234" i="11"/>
  <c r="C3" i="1"/>
  <c r="B3" i="1"/>
  <c r="P108" i="11"/>
  <c r="P73" i="11"/>
  <c r="P74" i="11"/>
  <c r="P75" i="11"/>
  <c r="P71" i="11"/>
  <c r="P51" i="11"/>
  <c r="P53" i="11"/>
  <c r="P50" i="11"/>
  <c r="P41" i="11"/>
  <c r="P42" i="11"/>
  <c r="P48" i="11"/>
  <c r="P40" i="11"/>
  <c r="P39" i="11"/>
  <c r="P28" i="11"/>
  <c r="P20" i="11"/>
  <c r="P23" i="11"/>
  <c r="P25" i="11"/>
  <c r="P26" i="11"/>
  <c r="P15" i="11"/>
  <c r="P14" i="11"/>
  <c r="P8" i="11"/>
  <c r="P4" i="11"/>
  <c r="P6" i="11"/>
  <c r="P7" i="11"/>
  <c r="P5" i="11"/>
  <c r="F13" i="8"/>
  <c r="F8" i="8"/>
  <c r="D13" i="8"/>
  <c r="E13" i="8"/>
  <c r="E8" i="8"/>
  <c r="D10" i="8"/>
  <c r="D9" i="8"/>
  <c r="D8" i="8"/>
  <c r="C10" i="8"/>
  <c r="C9" i="8"/>
  <c r="K8" i="5"/>
  <c r="K7" i="5"/>
  <c r="K6" i="5"/>
  <c r="K10" i="5"/>
  <c r="C4" i="1"/>
  <c r="C6" i="1"/>
  <c r="C7" i="1"/>
  <c r="C15" i="1"/>
  <c r="C14" i="1"/>
  <c r="C9" i="1"/>
  <c r="C8" i="1"/>
  <c r="C12" i="1"/>
  <c r="C11" i="1"/>
  <c r="C10" i="1"/>
  <c r="B4" i="1"/>
  <c r="B5" i="1"/>
  <c r="B6" i="1"/>
  <c r="B7" i="1"/>
  <c r="B8" i="1"/>
  <c r="B10" i="1"/>
  <c r="B11" i="1"/>
  <c r="B12" i="1"/>
  <c r="B13" i="1"/>
  <c r="B14" i="1"/>
  <c r="B15" i="1"/>
  <c r="K17" i="5"/>
  <c r="K18" i="5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9" i="1"/>
  <c r="C21" i="3"/>
  <c r="C20" i="3"/>
  <c r="C18" i="3"/>
  <c r="C19" i="3"/>
  <c r="C17" i="3"/>
  <c r="C16" i="3"/>
  <c r="C15" i="3"/>
  <c r="C22" i="3" s="1"/>
  <c r="K16" i="5" l="1"/>
  <c r="G10" i="15"/>
  <c r="H15" i="15" s="1"/>
  <c r="I8" i="15"/>
  <c r="H10" i="15"/>
  <c r="C21" i="15"/>
  <c r="H18" i="15" s="1"/>
  <c r="D4" i="15"/>
  <c r="I4" i="15"/>
  <c r="I5" i="15"/>
  <c r="I6" i="15"/>
  <c r="I7" i="15"/>
  <c r="D9" i="15"/>
  <c r="D5" i="15"/>
  <c r="D6" i="15"/>
  <c r="D7" i="15"/>
  <c r="D8" i="15"/>
  <c r="D19" i="1"/>
  <c r="B19" i="1"/>
  <c r="C19" i="1"/>
  <c r="K20" i="5"/>
  <c r="C14" i="8"/>
  <c r="L8" i="8" s="1"/>
</calcChain>
</file>

<file path=xl/sharedStrings.xml><?xml version="1.0" encoding="utf-8"?>
<sst xmlns="http://schemas.openxmlformats.org/spreadsheetml/2006/main" count="11183" uniqueCount="4106">
  <si>
    <t>Digite o número</t>
  </si>
  <si>
    <t/>
  </si>
  <si>
    <t>IP</t>
  </si>
  <si>
    <t>IP Loopback</t>
  </si>
  <si>
    <t>Loja</t>
  </si>
  <si>
    <t>Links</t>
  </si>
  <si>
    <t>Telefonia Fixa</t>
  </si>
  <si>
    <t>N/S Fortigate</t>
  </si>
  <si>
    <t>Dados</t>
  </si>
  <si>
    <t>Link 1</t>
  </si>
  <si>
    <t>Link 2</t>
  </si>
  <si>
    <t>3° Link Backup</t>
  </si>
  <si>
    <t>Custo Extra</t>
  </si>
  <si>
    <t>Linha</t>
  </si>
  <si>
    <t>Operadora</t>
  </si>
  <si>
    <t>Custo Total</t>
  </si>
  <si>
    <t>Velocidade</t>
  </si>
  <si>
    <t>Valor</t>
  </si>
  <si>
    <t>Tecnologia</t>
  </si>
  <si>
    <t>Telefonia IP</t>
  </si>
  <si>
    <t>Designação</t>
  </si>
  <si>
    <t>Vigência</t>
  </si>
  <si>
    <t>Qtd ramais</t>
  </si>
  <si>
    <t xml:space="preserve"> </t>
  </si>
  <si>
    <t>Total</t>
  </si>
  <si>
    <t>Telefonia Móvel</t>
  </si>
  <si>
    <t>Aps</t>
  </si>
  <si>
    <t>Switches</t>
  </si>
  <si>
    <t>Número</t>
  </si>
  <si>
    <t>Marca/Modelo</t>
  </si>
  <si>
    <t>Qtde</t>
  </si>
  <si>
    <t>Modelo</t>
  </si>
  <si>
    <t>IDLoja</t>
  </si>
  <si>
    <t>Nome Filial</t>
  </si>
  <si>
    <t>Telefone Marisa</t>
  </si>
  <si>
    <t>Tipo</t>
  </si>
  <si>
    <t>Logradouro</t>
  </si>
  <si>
    <t>Núm.</t>
  </si>
  <si>
    <t>Complemento</t>
  </si>
  <si>
    <t>CEP</t>
  </si>
  <si>
    <t>Bairro</t>
  </si>
  <si>
    <t>Cidade</t>
  </si>
  <si>
    <t>UF</t>
  </si>
  <si>
    <t>Região Geográfica</t>
  </si>
  <si>
    <t>Azenha</t>
  </si>
  <si>
    <t>(51) 3275-8980</t>
  </si>
  <si>
    <t>Rua</t>
  </si>
  <si>
    <t>Rua da Azenha</t>
  </si>
  <si>
    <t>90160-002</t>
  </si>
  <si>
    <t>Porto Alegre</t>
  </si>
  <si>
    <t>RS</t>
  </si>
  <si>
    <t>Sul</t>
  </si>
  <si>
    <t>São Caetano do Sul</t>
  </si>
  <si>
    <t>(11) 4228-7820</t>
  </si>
  <si>
    <t>R. Manoel Coelho</t>
  </si>
  <si>
    <t>318, 32 E328</t>
  </si>
  <si>
    <t>09510-100</t>
  </si>
  <si>
    <t>Centro</t>
  </si>
  <si>
    <t>SP</t>
  </si>
  <si>
    <t>Sudeste</t>
  </si>
  <si>
    <t>Campina Grande</t>
  </si>
  <si>
    <t>(83) 3182-4800</t>
  </si>
  <si>
    <t>R. Maciel Pinheiro</t>
  </si>
  <si>
    <t>58400-100</t>
  </si>
  <si>
    <t>PB</t>
  </si>
  <si>
    <t>Nordeste</t>
  </si>
  <si>
    <t>Teresina (Centro)</t>
  </si>
  <si>
    <t>(86) 3302-6104</t>
  </si>
  <si>
    <t>R. Senador Teodoro Pacheco</t>
  </si>
  <si>
    <t>64001-060</t>
  </si>
  <si>
    <t>Teresina</t>
  </si>
  <si>
    <t>PI</t>
  </si>
  <si>
    <t>São Luiz</t>
  </si>
  <si>
    <t>(98) 3878-6950</t>
  </si>
  <si>
    <t>R. Grande Oswaldo Cruz</t>
  </si>
  <si>
    <t>65020-250</t>
  </si>
  <si>
    <t>São Luís</t>
  </si>
  <si>
    <t>MA</t>
  </si>
  <si>
    <t>Aracajú</t>
  </si>
  <si>
    <t>(11) 2109-3045</t>
  </si>
  <si>
    <t>R. João Pessoa</t>
  </si>
  <si>
    <t>49010-130</t>
  </si>
  <si>
    <t>Aracaju</t>
  </si>
  <si>
    <t>SE</t>
  </si>
  <si>
    <t>Florianópolis</t>
  </si>
  <si>
    <t>(48) 3878-2150</t>
  </si>
  <si>
    <t>Praça XV de Novembro</t>
  </si>
  <si>
    <t>88010-400</t>
  </si>
  <si>
    <t>SC</t>
  </si>
  <si>
    <t>Shopping Interlagos</t>
  </si>
  <si>
    <t>(11) 2138-8159</t>
  </si>
  <si>
    <t>Shopping</t>
  </si>
  <si>
    <t>Av. Interlagos</t>
  </si>
  <si>
    <t>04661-200</t>
  </si>
  <si>
    <t>Campo Grande</t>
  </si>
  <si>
    <t>São Paulo</t>
  </si>
  <si>
    <t>Shopping Mueller Joinville</t>
  </si>
  <si>
    <t>(47) 3803-6550</t>
  </si>
  <si>
    <t>R. Visconde de Taunay</t>
  </si>
  <si>
    <t>89201-430</t>
  </si>
  <si>
    <t>Joinville</t>
  </si>
  <si>
    <t>Shopping Metrópole</t>
  </si>
  <si>
    <t>(11) 2138-8534</t>
  </si>
  <si>
    <t>Pça. Samuel Sabatini</t>
  </si>
  <si>
    <t>09750-902</t>
  </si>
  <si>
    <t>São Bernardo do Campo</t>
  </si>
  <si>
    <t>River Shopping</t>
  </si>
  <si>
    <t>(87) 3201-3984</t>
  </si>
  <si>
    <t>Av. Mons. Ângelo Sampaio</t>
  </si>
  <si>
    <t>lj. 87/88</t>
  </si>
  <si>
    <t>56304-160</t>
  </si>
  <si>
    <t>Petrolina</t>
  </si>
  <si>
    <t>PE</t>
  </si>
  <si>
    <t>Norte Shopping</t>
  </si>
  <si>
    <t>(21) 2187-7600</t>
  </si>
  <si>
    <t>Av. Dom Hélder Câmara</t>
  </si>
  <si>
    <t>Salões Comerciais 357/ 358 / 359 / 377/A - Piso S - Norte Shopping</t>
  </si>
  <si>
    <t>20771-004</t>
  </si>
  <si>
    <t>Cachambi</t>
  </si>
  <si>
    <t>Rio de Janeiro</t>
  </si>
  <si>
    <t>RJ</t>
  </si>
  <si>
    <t>Pátio Brasil Shopping</t>
  </si>
  <si>
    <t>(61) 3521-9906</t>
  </si>
  <si>
    <t>Setor Comercial Sul</t>
  </si>
  <si>
    <t>Q. 07</t>
  </si>
  <si>
    <t>Bloco A, Piso Térreo T3- Loja 1t</t>
  </si>
  <si>
    <t>70310-500</t>
  </si>
  <si>
    <t>Asa Sul</t>
  </si>
  <si>
    <t>Brasília</t>
  </si>
  <si>
    <t>DF</t>
  </si>
  <si>
    <t>Centro-Oeste</t>
  </si>
  <si>
    <t>Riverside Shopping</t>
  </si>
  <si>
    <t>(86) 3301-2530</t>
  </si>
  <si>
    <t>Av. Ininga</t>
  </si>
  <si>
    <t xml:space="preserve">LJ H15/23 E J39/47 </t>
  </si>
  <si>
    <t>64046-010</t>
  </si>
  <si>
    <t>Jockey Club</t>
  </si>
  <si>
    <t xml:space="preserve">Grand Plaza Shopping </t>
  </si>
  <si>
    <t>(11) 2109-3194</t>
  </si>
  <si>
    <t>Av. Industrial</t>
  </si>
  <si>
    <t>lj. 124 - Bairro Jardim</t>
  </si>
  <si>
    <t>09080-500</t>
  </si>
  <si>
    <t>Jardim</t>
  </si>
  <si>
    <t>Santo André</t>
  </si>
  <si>
    <t>Internacional Shopping</t>
  </si>
  <si>
    <t>(11) 2109-6112</t>
  </si>
  <si>
    <t>Rod. Presidente Dutra KM 397/650</t>
  </si>
  <si>
    <t>s/n</t>
  </si>
  <si>
    <t>Km 397/65</t>
  </si>
  <si>
    <t>07042-050</t>
  </si>
  <si>
    <t>Lj B 18 Piso Terreo</t>
  </si>
  <si>
    <t>Guarulhos</t>
  </si>
  <si>
    <t>Buriti Shopping</t>
  </si>
  <si>
    <t>(62) 3625-7180</t>
  </si>
  <si>
    <t>Av. Rio Verde</t>
  </si>
  <si>
    <t>Qd. 12 / 14 - Loja 153</t>
  </si>
  <si>
    <t>74840-150</t>
  </si>
  <si>
    <t>Vila São Tomas</t>
  </si>
  <si>
    <t>Goiânia</t>
  </si>
  <si>
    <t>GO</t>
  </si>
  <si>
    <t>Litoral Plaza Shopping</t>
  </si>
  <si>
    <t>(13) 3476-1283</t>
  </si>
  <si>
    <t>Av. Ayrton Senna</t>
  </si>
  <si>
    <t>Lojas 28, 29, 3 e 31, Xixová</t>
  </si>
  <si>
    <t>11726-500</t>
  </si>
  <si>
    <t>Sitio do Campo</t>
  </si>
  <si>
    <t>Praia Grande</t>
  </si>
  <si>
    <t>Manaíra Shopping</t>
  </si>
  <si>
    <t>(83) 3533-4351</t>
  </si>
  <si>
    <t>R. Manoel Arruda Cavalcante</t>
  </si>
  <si>
    <t>Av Gov. Flavio Ribeiro Coutinho - 2º Piso</t>
  </si>
  <si>
    <t>58038-680</t>
  </si>
  <si>
    <t>Manaira</t>
  </si>
  <si>
    <t>João Pessoa</t>
  </si>
  <si>
    <t>Alameda Shopping</t>
  </si>
  <si>
    <t>(61) 2102-1314</t>
  </si>
  <si>
    <t>Estr. Shopping Center Csb</t>
  </si>
  <si>
    <t>Lotes 1/2/3/4 - Loja T13, T15 e T15A</t>
  </si>
  <si>
    <t>72015-901</t>
  </si>
  <si>
    <t xml:space="preserve">Shopping Aricanduva </t>
  </si>
  <si>
    <t>(11) 2109-3178</t>
  </si>
  <si>
    <t>Av. Aricanduva</t>
  </si>
  <si>
    <t>Âncora 5-Shop. C. Leste</t>
  </si>
  <si>
    <t>03527-900</t>
  </si>
  <si>
    <t>Jardim Colorado</t>
  </si>
  <si>
    <t>Cuiabá</t>
  </si>
  <si>
    <t>(65) 3928-3249</t>
  </si>
  <si>
    <t>R. Treze de Junho</t>
  </si>
  <si>
    <t>78005-410</t>
  </si>
  <si>
    <t>MT</t>
  </si>
  <si>
    <t>Macapá</t>
  </si>
  <si>
    <t>(96) 2101-8850</t>
  </si>
  <si>
    <t>R. Cândido Mendes</t>
  </si>
  <si>
    <t>68900-100</t>
  </si>
  <si>
    <t>AP</t>
  </si>
  <si>
    <t>Norte</t>
  </si>
  <si>
    <t>Santo Amaro</t>
  </si>
  <si>
    <t>(11) 2109-6466</t>
  </si>
  <si>
    <t>Av. Adolfo Pinheiro</t>
  </si>
  <si>
    <t>04734-000</t>
  </si>
  <si>
    <t>Rio Branco</t>
  </si>
  <si>
    <t>(68) 3303-8980</t>
  </si>
  <si>
    <t>Av. Getúlio Vargas</t>
  </si>
  <si>
    <t>69900-060</t>
  </si>
  <si>
    <t>AC</t>
  </si>
  <si>
    <t>Diadema</t>
  </si>
  <si>
    <t>(11) 2109-3171</t>
  </si>
  <si>
    <t>Av. Pres. Kennedy</t>
  </si>
  <si>
    <t>Av. São José, 26</t>
  </si>
  <si>
    <t>09913-000</t>
  </si>
  <si>
    <t>Porto Velho</t>
  </si>
  <si>
    <t>(69) 2182-4380</t>
  </si>
  <si>
    <t>Av. Sete de Setembro</t>
  </si>
  <si>
    <t>e 941-A</t>
  </si>
  <si>
    <t>76801-073</t>
  </si>
  <si>
    <t>RO</t>
  </si>
  <si>
    <t>Mauá Plaza Shopping</t>
  </si>
  <si>
    <t>(11) 2109-6054</t>
  </si>
  <si>
    <t>Av. Antonia Rosa Fioravanti</t>
  </si>
  <si>
    <t>327 e 338</t>
  </si>
  <si>
    <t>09390-120</t>
  </si>
  <si>
    <t>Mauá</t>
  </si>
  <si>
    <t>Sh Rio Mar Aracajú</t>
  </si>
  <si>
    <t>(79) 3711-2770</t>
  </si>
  <si>
    <t>R. Delmiro Gouveia</t>
  </si>
  <si>
    <t>S/N - Loja Ancora "A"</t>
  </si>
  <si>
    <t>49035-900</t>
  </si>
  <si>
    <t>Coroa do Meio</t>
  </si>
  <si>
    <t>Canoas Shopping</t>
  </si>
  <si>
    <t>(51) 2102-7280</t>
  </si>
  <si>
    <t>Av. Guilherme Schell</t>
  </si>
  <si>
    <t>92310-001</t>
  </si>
  <si>
    <t>Canoas</t>
  </si>
  <si>
    <t>North Shopping Fortaleza</t>
  </si>
  <si>
    <t>(85) 3392-3684</t>
  </si>
  <si>
    <t>Av. Bezerra de Menezes</t>
  </si>
  <si>
    <t>lj. 8 1º Piso</t>
  </si>
  <si>
    <t>60325-902</t>
  </si>
  <si>
    <t>Fortaleza</t>
  </si>
  <si>
    <t>CE</t>
  </si>
  <si>
    <t>São Leopoldo</t>
  </si>
  <si>
    <t>(11) 2138-8537</t>
  </si>
  <si>
    <t>R. Independência</t>
  </si>
  <si>
    <t>93010-003</t>
  </si>
  <si>
    <t>Via Shopping Barreiro</t>
  </si>
  <si>
    <t>(31) 3211-7350</t>
  </si>
  <si>
    <t>Av. Afonso Vaz Melo</t>
  </si>
  <si>
    <t>Ljs. 235 e 243</t>
  </si>
  <si>
    <t>30640-070</t>
  </si>
  <si>
    <t>Barreiro</t>
  </si>
  <si>
    <t>Belo Horizonte</t>
  </si>
  <si>
    <t>MG</t>
  </si>
  <si>
    <t>Maxi Shopping Jundiaí</t>
  </si>
  <si>
    <t>(11) 4583-6683</t>
  </si>
  <si>
    <t>Av. Antonio Frederico Ozanam</t>
  </si>
  <si>
    <t xml:space="preserve">SUC 14 - 1º PISO </t>
  </si>
  <si>
    <t>13215-900</t>
  </si>
  <si>
    <t>Vila Rio Branco</t>
  </si>
  <si>
    <t>Jundiaí</t>
  </si>
  <si>
    <t>São José dos Pinhais</t>
  </si>
  <si>
    <t>(41) 3311-7630</t>
  </si>
  <si>
    <t>R. Quinze de Novembro</t>
  </si>
  <si>
    <t>83005-000</t>
  </si>
  <si>
    <t>PR</t>
  </si>
  <si>
    <t>BH Centro</t>
  </si>
  <si>
    <t>(31) 3242-8500</t>
  </si>
  <si>
    <t>R. Carijós</t>
  </si>
  <si>
    <t>30120-060</t>
  </si>
  <si>
    <t>(21) 3622-8730</t>
  </si>
  <si>
    <t>R. Cel. Agostinho</t>
  </si>
  <si>
    <t>23050-360</t>
  </si>
  <si>
    <t>encerrada</t>
  </si>
  <si>
    <t>Shopping Penha</t>
  </si>
  <si>
    <t>(11) 2109-6021</t>
  </si>
  <si>
    <t>R. Dr. João Ribeiro</t>
  </si>
  <si>
    <t>SUC 1711/1712</t>
  </si>
  <si>
    <t>03634-900</t>
  </si>
  <si>
    <t>Penha de Franca</t>
  </si>
  <si>
    <t>São Bernardo</t>
  </si>
  <si>
    <t>(11) 2109-3172</t>
  </si>
  <si>
    <t>R. Mal. Deodoro</t>
  </si>
  <si>
    <t>09710-001</t>
  </si>
  <si>
    <t>Gonzaga</t>
  </si>
  <si>
    <t>(13) 3208-6481</t>
  </si>
  <si>
    <t>Av. Mal. Floriano Peixoto</t>
  </si>
  <si>
    <t>11060-301</t>
  </si>
  <si>
    <t>Santos</t>
  </si>
  <si>
    <t>Curitiba</t>
  </si>
  <si>
    <t>(11) 2138-8530</t>
  </si>
  <si>
    <t>R. Xv de Novembro</t>
  </si>
  <si>
    <t>nº 257 - 1º, 2º e 3º andar.</t>
  </si>
  <si>
    <t>80020-310</t>
  </si>
  <si>
    <t>Novo Shopping Center Ribeirão Preto</t>
  </si>
  <si>
    <t>(16) 3965-8510</t>
  </si>
  <si>
    <t>14096-970</t>
  </si>
  <si>
    <t>Ribeirania</t>
  </si>
  <si>
    <t>Ribeirão Preto</t>
  </si>
  <si>
    <t>(11) 2109-6017</t>
  </si>
  <si>
    <t>R. D. Pedro II</t>
  </si>
  <si>
    <t>31 e 35</t>
  </si>
  <si>
    <t>07010-003</t>
  </si>
  <si>
    <t>Midway Mall</t>
  </si>
  <si>
    <t>(84) 3344-7235</t>
  </si>
  <si>
    <t>Av. Bernardo Vieira</t>
  </si>
  <si>
    <t>3775 - piso L2 - EUC´s 253 e 253A - Tirol</t>
  </si>
  <si>
    <t>59015-900</t>
  </si>
  <si>
    <t>Tirol</t>
  </si>
  <si>
    <t>Natal</t>
  </si>
  <si>
    <t>RN</t>
  </si>
  <si>
    <t>Manaus</t>
  </si>
  <si>
    <t>(92) 3303-9430</t>
  </si>
  <si>
    <t>Av. Eduardo Ribeiro</t>
  </si>
  <si>
    <t>e 46</t>
  </si>
  <si>
    <t>69005-160</t>
  </si>
  <si>
    <t>AM</t>
  </si>
  <si>
    <t>Osasco Plaza Shopping</t>
  </si>
  <si>
    <t>(11) 2109-3173</t>
  </si>
  <si>
    <t>R. Ten. Avelar Pires de Azevedo</t>
  </si>
  <si>
    <t>lj. 11, 12, 19 e 191 PS Térreo e 31 PS Superior</t>
  </si>
  <si>
    <t>06016-060</t>
  </si>
  <si>
    <t>Osasco</t>
  </si>
  <si>
    <t>Castanheira Shopping Center</t>
  </si>
  <si>
    <t>(91) 3344-5080</t>
  </si>
  <si>
    <t>Rod. Br. 316</t>
  </si>
  <si>
    <t>Km 1 s/n.º EUC 117 / 119 / 122 / 124 e Expanção</t>
  </si>
  <si>
    <t>66645-900</t>
  </si>
  <si>
    <t>Atalaia</t>
  </si>
  <si>
    <t>Belém</t>
  </si>
  <si>
    <t>PA</t>
  </si>
  <si>
    <t>Santana</t>
  </si>
  <si>
    <t>(11) 2138-8506</t>
  </si>
  <si>
    <t>R. Leite de Moraes</t>
  </si>
  <si>
    <t>E 12</t>
  </si>
  <si>
    <t>02034-020</t>
  </si>
  <si>
    <t>São Miguel Paulista</t>
  </si>
  <si>
    <t>(11) 2138-8517</t>
  </si>
  <si>
    <t>R. Serra Dourada</t>
  </si>
  <si>
    <t>E 11</t>
  </si>
  <si>
    <t>08010-000</t>
  </si>
  <si>
    <t>Sao Miguel Paulista</t>
  </si>
  <si>
    <t>Shopping Guararapes</t>
  </si>
  <si>
    <t>(81) 3201-7250</t>
  </si>
  <si>
    <t>Av. Gen. Barreto de Menezes</t>
  </si>
  <si>
    <t>SUC's nº  99/1/11/12 A-B-C - Piedade</t>
  </si>
  <si>
    <t>54410-100</t>
  </si>
  <si>
    <t>Alto Guararapes</t>
  </si>
  <si>
    <t>Jaboatão dos Guararapes</t>
  </si>
  <si>
    <t>Maceió Shopping</t>
  </si>
  <si>
    <t>(82) 3214-6550</t>
  </si>
  <si>
    <t>Av. Gustavo Paiva</t>
  </si>
  <si>
    <t>Espaço Comercial Âncora H-2.º Piso</t>
  </si>
  <si>
    <t>57032-901</t>
  </si>
  <si>
    <t>Mangabeiras</t>
  </si>
  <si>
    <t>Maceió</t>
  </si>
  <si>
    <t>AL</t>
  </si>
  <si>
    <t>(85) 3521-4950</t>
  </si>
  <si>
    <t>R. Maj. Facundo</t>
  </si>
  <si>
    <t>60025-100</t>
  </si>
  <si>
    <t>Shopping Do Vale</t>
  </si>
  <si>
    <t>(51) 3533-6680</t>
  </si>
  <si>
    <t>Av. Flores da Cunha</t>
  </si>
  <si>
    <t>lj.279/28/281</t>
  </si>
  <si>
    <t>94950-000</t>
  </si>
  <si>
    <t>Cachoeirinha</t>
  </si>
  <si>
    <t>(11) 2138-8510</t>
  </si>
  <si>
    <t>R. Cel. Oliveira Lima</t>
  </si>
  <si>
    <t>09010-000</t>
  </si>
  <si>
    <t>Alcântara</t>
  </si>
  <si>
    <t>(21) 3575-7401</t>
  </si>
  <si>
    <t>R. Dr. Alfredo Backer</t>
  </si>
  <si>
    <t>24452-001</t>
  </si>
  <si>
    <t>Alcantrara</t>
  </si>
  <si>
    <t>São Gonçalo</t>
  </si>
  <si>
    <t>Parque Dom Pedro Shopping</t>
  </si>
  <si>
    <t>(19) 3709-9080</t>
  </si>
  <si>
    <t>Av. Guilherme Campos</t>
  </si>
  <si>
    <t>EUC nº âncora A-2</t>
  </si>
  <si>
    <t>13087-901</t>
  </si>
  <si>
    <t>Jardim Sta Genebra</t>
  </si>
  <si>
    <t>Campinas</t>
  </si>
  <si>
    <t>Mogi Shopping</t>
  </si>
  <si>
    <t>(11) 4728-3172</t>
  </si>
  <si>
    <t>Av. Ver. Narciso Yague Guimaraes</t>
  </si>
  <si>
    <t>Area Comerc A17</t>
  </si>
  <si>
    <t>08780-910</t>
  </si>
  <si>
    <t>Jd Armenia</t>
  </si>
  <si>
    <t>Mogi das Cruzes</t>
  </si>
  <si>
    <t xml:space="preserve">Farol Shopping </t>
  </si>
  <si>
    <t>(48) 3301-3150</t>
  </si>
  <si>
    <t>Av. Marcolino Martins Cabral</t>
  </si>
  <si>
    <t>SUC Nº ÂNCORA A 4</t>
  </si>
  <si>
    <t>88705-003</t>
  </si>
  <si>
    <t>Aeroporto</t>
  </si>
  <si>
    <t>Tubarão</t>
  </si>
  <si>
    <t>Shopping Campo Limpo</t>
  </si>
  <si>
    <t>(11) 2138-8508</t>
  </si>
  <si>
    <t>R. Estrada do Campo Limpo</t>
  </si>
  <si>
    <t>EUC A4/A5 e 354-OS-C.C/A4-Itap.A5/EUC 354</t>
  </si>
  <si>
    <t>05777-001</t>
  </si>
  <si>
    <t>Shopping Piracicaba</t>
  </si>
  <si>
    <t>(19) 3412-1700</t>
  </si>
  <si>
    <t>Av. Limeira</t>
  </si>
  <si>
    <t>13414-018</t>
  </si>
  <si>
    <t>Piracicaba</t>
  </si>
  <si>
    <t>Porto Alegre (Centro)</t>
  </si>
  <si>
    <t>(51) 3396-5820</t>
  </si>
  <si>
    <t>R. Voluntários da Pátria</t>
  </si>
  <si>
    <t>90030-002</t>
  </si>
  <si>
    <t>Shopping Delrey</t>
  </si>
  <si>
    <t>(31) 3048-4080</t>
  </si>
  <si>
    <t>Av. Pres. Carlos Luz</t>
  </si>
  <si>
    <t>SALÕES COMERCIAIS 314 / 316 / 336 e R2 - 3º PISO</t>
  </si>
  <si>
    <t>31310-250</t>
  </si>
  <si>
    <t>Engenho Nogueira</t>
  </si>
  <si>
    <t>Sh Metrô Boulevard Tatuapé</t>
  </si>
  <si>
    <t>(11) 2109-3174</t>
  </si>
  <si>
    <t>R. Gonçalves Crespo</t>
  </si>
  <si>
    <t>Loja 23B/24b/ 21B - 1pav. (PS metro) e Loja 31 / 33 - 2pavimento</t>
  </si>
  <si>
    <t>03066-030</t>
  </si>
  <si>
    <t>Tatuape</t>
  </si>
  <si>
    <t>(82) 3312-1880</t>
  </si>
  <si>
    <t>R. do Comércio</t>
  </si>
  <si>
    <t>57020-000</t>
  </si>
  <si>
    <t>Big Shopping</t>
  </si>
  <si>
    <t>(31) 3358-3500</t>
  </si>
  <si>
    <t>Av. João C. de Oliveira</t>
  </si>
  <si>
    <t>lj. 293</t>
  </si>
  <si>
    <t>32310-220</t>
  </si>
  <si>
    <t>Contagem</t>
  </si>
  <si>
    <t>Floripa Shopping</t>
  </si>
  <si>
    <t>(48) 3231-3100</t>
  </si>
  <si>
    <t>Rod. Virgilio Várzea</t>
  </si>
  <si>
    <t>Àrea 2- Bairro Saco Grande II</t>
  </si>
  <si>
    <t>88032-000</t>
  </si>
  <si>
    <t>Saco Grande</t>
  </si>
  <si>
    <t>Nova Iguaçu</t>
  </si>
  <si>
    <t>(21) 3575-5060</t>
  </si>
  <si>
    <t>Av. Nilo Peçanha</t>
  </si>
  <si>
    <t>26210-011</t>
  </si>
  <si>
    <t xml:space="preserve">Shopping Avenida Center </t>
  </si>
  <si>
    <t>(67) 2108-3380</t>
  </si>
  <si>
    <t>Av. Marcelino Pires</t>
  </si>
  <si>
    <t>Ljs. A1, A2 e A3</t>
  </si>
  <si>
    <t>79830-903</t>
  </si>
  <si>
    <t>Cabaceira Alegre</t>
  </si>
  <si>
    <t>Dourados</t>
  </si>
  <si>
    <t>MS</t>
  </si>
  <si>
    <t>Ponta Grossa</t>
  </si>
  <si>
    <t>(42) 3302-2150</t>
  </si>
  <si>
    <t>R. Coronel Cláudio</t>
  </si>
  <si>
    <t>Loja 4</t>
  </si>
  <si>
    <t>84010-120</t>
  </si>
  <si>
    <t>Salvador Shopping</t>
  </si>
  <si>
    <t>(71) 3617-4830</t>
  </si>
  <si>
    <t>Av. Tancredo Neves</t>
  </si>
  <si>
    <t>Salão Comercial 162- Setor Comercial 114- Piso 1</t>
  </si>
  <si>
    <t>41820-021</t>
  </si>
  <si>
    <t>Caminho das Arvores</t>
  </si>
  <si>
    <t>Salvador</t>
  </si>
  <si>
    <t>BA</t>
  </si>
  <si>
    <t>Shopping Recife</t>
  </si>
  <si>
    <t>(11) 2109-3191</t>
  </si>
  <si>
    <t>R. Padre Carapuceiro</t>
  </si>
  <si>
    <t>Espaços Comerciais PC 157/158 - Piso Padre Carapuceiro</t>
  </si>
  <si>
    <t>51020-900</t>
  </si>
  <si>
    <t>Boa Viagem</t>
  </si>
  <si>
    <t>Recife</t>
  </si>
  <si>
    <t>Vitória da Conquista</t>
  </si>
  <si>
    <t>(77) 3201-7180</t>
  </si>
  <si>
    <t>R. Monsenhor Olímpio</t>
  </si>
  <si>
    <t>45015-300</t>
  </si>
  <si>
    <t>(44) 3355-4550</t>
  </si>
  <si>
    <t>Av. São Paulo</t>
  </si>
  <si>
    <t>Loja B-13 Piso Superior e Loja I- 115- Shopping Av. Center</t>
  </si>
  <si>
    <t>87013-929</t>
  </si>
  <si>
    <t>Zona Armagem</t>
  </si>
  <si>
    <t>Maringá</t>
  </si>
  <si>
    <t>Shopping Vale do Aço</t>
  </si>
  <si>
    <t>(31) 3094-2100</t>
  </si>
  <si>
    <t>Av. Pedro Linhares</t>
  </si>
  <si>
    <t>LJS 1/2/3/82- Shopping Vale do Aço</t>
  </si>
  <si>
    <t>35160-290</t>
  </si>
  <si>
    <t>Horto</t>
  </si>
  <si>
    <t>Ipatinga</t>
  </si>
  <si>
    <t>Pátio Limeira Shopping</t>
  </si>
  <si>
    <t>(19) 3404-4180</t>
  </si>
  <si>
    <t>R. Carlos Gomes</t>
  </si>
  <si>
    <t>Lj 12/13/13A;14 -CENTRAL PLAZA</t>
  </si>
  <si>
    <t>13480-013</t>
  </si>
  <si>
    <t>Limeira</t>
  </si>
  <si>
    <t>Taubaté Shopping</t>
  </si>
  <si>
    <t>(12) 2125-2350</t>
  </si>
  <si>
    <t>Av. Charles Schnneider</t>
  </si>
  <si>
    <t>ancora A8 Taubaté Shopping Center Taubaté</t>
  </si>
  <si>
    <t>12040-900</t>
  </si>
  <si>
    <t>Parque Senhor do Bonfim</t>
  </si>
  <si>
    <t>Taubaté</t>
  </si>
  <si>
    <t>Partage Shopping Campina Grande</t>
  </si>
  <si>
    <t>(83) 2102-2254</t>
  </si>
  <si>
    <t>Av. Pref. Severino Bezerra Cabral</t>
  </si>
  <si>
    <t>Sala Comercial 242 PS 1</t>
  </si>
  <si>
    <t>58407-475</t>
  </si>
  <si>
    <t>Jose Pinheiro</t>
  </si>
  <si>
    <t>Itaim Paulista</t>
  </si>
  <si>
    <t>(11) 2109-3170</t>
  </si>
  <si>
    <t>Av. Marechal Tito</t>
  </si>
  <si>
    <t>08115-100</t>
  </si>
  <si>
    <t>(62) 3878-3200</t>
  </si>
  <si>
    <t>Av. Vinte e Quatro de Outubro</t>
  </si>
  <si>
    <t>74505-011</t>
  </si>
  <si>
    <t>Aeroviário</t>
  </si>
  <si>
    <t>Shopping Jequitiba</t>
  </si>
  <si>
    <t>(11) 2109-6291</t>
  </si>
  <si>
    <t>Av. Aziz Maron</t>
  </si>
  <si>
    <t>S/N - Loja 25,26 e 27 - Piso Térreo</t>
  </si>
  <si>
    <t>45605-415</t>
  </si>
  <si>
    <t>Goes Calmon</t>
  </si>
  <si>
    <t>Itabuna</t>
  </si>
  <si>
    <t>Shopping Bonsucesso</t>
  </si>
  <si>
    <t>(11) 2109-6486</t>
  </si>
  <si>
    <t>Estr. Juscelino Kubitschek de Oliveira</t>
  </si>
  <si>
    <t>Loja D - Shopping Bonsucesso</t>
  </si>
  <si>
    <t>07252-000</t>
  </si>
  <si>
    <t>Loja D Shop Bonsucesso</t>
  </si>
  <si>
    <t>Shopping Metrô Tucuruvi</t>
  </si>
  <si>
    <t>(11) 2109-3014</t>
  </si>
  <si>
    <t>Av. Dr. Antônio Maria Laet</t>
  </si>
  <si>
    <t>Salão Comercial n.º L 27/T- Piso Térreo- Shopping Metrô Tucuruvi</t>
  </si>
  <si>
    <t>02240-000</t>
  </si>
  <si>
    <t>Tucuruvi</t>
  </si>
  <si>
    <t>Caruaru Shopping</t>
  </si>
  <si>
    <t>(81) 2103-2350</t>
  </si>
  <si>
    <t>Av. Adjar da Silva Casé</t>
  </si>
  <si>
    <t>ECL 5- Âncora Shopping Center Caruaru</t>
  </si>
  <si>
    <t>55024-901</t>
  </si>
  <si>
    <t>Indianopolis</t>
  </si>
  <si>
    <t>Caruaru</t>
  </si>
  <si>
    <t>Shopping Vale Sul</t>
  </si>
  <si>
    <t>(12) 3878-7810</t>
  </si>
  <si>
    <t>Av. Andrômeda</t>
  </si>
  <si>
    <t>SUC 16- Vale Sul Shopping</t>
  </si>
  <si>
    <t>12230-000</t>
  </si>
  <si>
    <t>Jardim Satelite</t>
  </si>
  <si>
    <t>São José dos Campos</t>
  </si>
  <si>
    <t>(67) 3303-3352</t>
  </si>
  <si>
    <t>R. D. Aquino</t>
  </si>
  <si>
    <t>79002-185</t>
  </si>
  <si>
    <t>Shopping Metrô Itaquera</t>
  </si>
  <si>
    <t>(11) 2138-8511</t>
  </si>
  <si>
    <t>Estrada da Pedreira S/N</t>
  </si>
  <si>
    <t>Gleba I - Lj 122 - Térre - Shop Metro Itaquera</t>
  </si>
  <si>
    <t>08220-385</t>
  </si>
  <si>
    <t>Itaquera</t>
  </si>
  <si>
    <t>Partage Norte Shopping Natal</t>
  </si>
  <si>
    <t>(84) 3311-3052</t>
  </si>
  <si>
    <t>Av. Dr. João Medeiros Filho</t>
  </si>
  <si>
    <t>Espaço Comercial n.º  236/243- Piso L2- Shopping Natal Norte-Bairro Potengi</t>
  </si>
  <si>
    <t>59110-200</t>
  </si>
  <si>
    <t>Potengi</t>
  </si>
  <si>
    <t>Plaza Avenida Shopping</t>
  </si>
  <si>
    <t>(17) 2138-2150</t>
  </si>
  <si>
    <t>Av. Jose Munia</t>
  </si>
  <si>
    <t>Luc A 11 Piso 1 - Shopping Plaza Avenida</t>
  </si>
  <si>
    <t>15085-350</t>
  </si>
  <si>
    <t>Jardim Redentor</t>
  </si>
  <si>
    <t>São José do Rio Preto</t>
  </si>
  <si>
    <t>Shopping União de Osasco</t>
  </si>
  <si>
    <t>(11) 2138-8502</t>
  </si>
  <si>
    <t>Av. dos Autonomistas</t>
  </si>
  <si>
    <t>06020-010</t>
  </si>
  <si>
    <t>Vila Yara</t>
  </si>
  <si>
    <t>Shopping Jardim das Américas</t>
  </si>
  <si>
    <t>(41) 3358-2980</t>
  </si>
  <si>
    <t>Av. Nossa Senhora de Lourdes</t>
  </si>
  <si>
    <t>Lojas n.º 4B/41-B/42-B</t>
  </si>
  <si>
    <t>81530-020</t>
  </si>
  <si>
    <t>Jardim das Americas</t>
  </si>
  <si>
    <t>Bourbon Shopping</t>
  </si>
  <si>
    <t>(51) 3302-5301</t>
  </si>
  <si>
    <t>Av. Assis Brasil</t>
  </si>
  <si>
    <t>91010-000</t>
  </si>
  <si>
    <t>Passo D Areia</t>
  </si>
  <si>
    <t>Minas Shopping</t>
  </si>
  <si>
    <t>(31) 3878-1550</t>
  </si>
  <si>
    <t>Av. Cristiano Machado</t>
  </si>
  <si>
    <t>Espaço Comercial NRS 6- Localizada no 2.º Piso Minas Shopping-União</t>
  </si>
  <si>
    <t>31910-900</t>
  </si>
  <si>
    <t>Uniao</t>
  </si>
  <si>
    <t>Marília Shppping</t>
  </si>
  <si>
    <t>(14) 3311-5354</t>
  </si>
  <si>
    <t>R. Tucunarés</t>
  </si>
  <si>
    <t>LUC A5 - Âncora 2 - Aquarius Shopping Center - Bairro Jardim Maria Marta</t>
  </si>
  <si>
    <t>17507-280</t>
  </si>
  <si>
    <t>Jardim Maria Marta</t>
  </si>
  <si>
    <t>Marília</t>
  </si>
  <si>
    <t>Cubatão</t>
  </si>
  <si>
    <t>(13) 2138-2700</t>
  </si>
  <si>
    <t>Av. Nove de Abril</t>
  </si>
  <si>
    <t>11510-001</t>
  </si>
  <si>
    <t>Silva Bueno</t>
  </si>
  <si>
    <t>(11) 2109-6025</t>
  </si>
  <si>
    <t>R. Silva Bueno</t>
  </si>
  <si>
    <t>04208-002</t>
  </si>
  <si>
    <t>Ipiranga</t>
  </si>
  <si>
    <t>Ferraz de Vasconcelos</t>
  </si>
  <si>
    <t>(11) 3238-3700</t>
  </si>
  <si>
    <t>Av. Quinze de Novembro</t>
  </si>
  <si>
    <t>E 94</t>
  </si>
  <si>
    <t>08500-405</t>
  </si>
  <si>
    <t>Vila Romanopolis</t>
  </si>
  <si>
    <t>Buriti Shopping Guara</t>
  </si>
  <si>
    <t>(12) 2131-3613</t>
  </si>
  <si>
    <t>Av. Juscelino Kubitschek de Oliveira</t>
  </si>
  <si>
    <t>LUC 29 - Buriti Shopping</t>
  </si>
  <si>
    <t>12505-300</t>
  </si>
  <si>
    <t>Campo do Galvao</t>
  </si>
  <si>
    <t>Guaratinguetá</t>
  </si>
  <si>
    <t>Shopping Tambiá</t>
  </si>
  <si>
    <t>(83) 3515-5250</t>
  </si>
  <si>
    <t>Av. Dep. Odon Bezerra</t>
  </si>
  <si>
    <t>Lojas A-11/A-12/A-12/A-13/A-116/A-117/2.º Pavimento-Piso Acácia- Shop.Tambiá</t>
  </si>
  <si>
    <t>58020-050</t>
  </si>
  <si>
    <t>Tambia</t>
  </si>
  <si>
    <t>Jacareí</t>
  </si>
  <si>
    <t>(12) 2128-2050</t>
  </si>
  <si>
    <t>R. Dr. Lucio Malta</t>
  </si>
  <si>
    <t>12327-001</t>
  </si>
  <si>
    <t>Shopping da Bahia</t>
  </si>
  <si>
    <t>(71) 3525-2063</t>
  </si>
  <si>
    <t xml:space="preserve">Loja 2 B- Alameda Miguel Calmon-1.º Piso-Shopping Iguatemi Salvador </t>
  </si>
  <si>
    <t>41820-020</t>
  </si>
  <si>
    <t>Vicente de Carvalho</t>
  </si>
  <si>
    <t>(13) 3878-5800</t>
  </si>
  <si>
    <t>Av. Thiago Ferreira</t>
  </si>
  <si>
    <t>11450-000</t>
  </si>
  <si>
    <t>Vila Alice</t>
  </si>
  <si>
    <t>Guarujá</t>
  </si>
  <si>
    <t>Shopping Taboão</t>
  </si>
  <si>
    <t>(11) 2109-3015</t>
  </si>
  <si>
    <t>Rod. Br. 116</t>
  </si>
  <si>
    <t>Km 272 - Shopping Center Taboao da Serra - loja 23 - piso 1</t>
  </si>
  <si>
    <t>06768-200</t>
  </si>
  <si>
    <t>Cidade Intercap</t>
  </si>
  <si>
    <t>Taboão da Serra</t>
  </si>
  <si>
    <t xml:space="preserve">Palladium Shopping </t>
  </si>
  <si>
    <t>(41) 3888-5900</t>
  </si>
  <si>
    <t>Âncora 7- Piso L2- Loja 272-A</t>
  </si>
  <si>
    <t>80613-980</t>
  </si>
  <si>
    <t>Portao</t>
  </si>
  <si>
    <t>Boulevard Shopping Belém</t>
  </si>
  <si>
    <t>(91) 3205-4100</t>
  </si>
  <si>
    <t>Av. Visconde de Souza Franco</t>
  </si>
  <si>
    <t>Boulevard Shopping Belém - Lojas 14/141/142</t>
  </si>
  <si>
    <t>66053-000</t>
  </si>
  <si>
    <t>Reduto</t>
  </si>
  <si>
    <t>Shopping Conjunto Nacional</t>
  </si>
  <si>
    <t>(61) 2107-6659</t>
  </si>
  <si>
    <t>Conjunto Nacional Brasilia</t>
  </si>
  <si>
    <t>S/N - Slj 136 - Parte C - Sdn</t>
  </si>
  <si>
    <t>70077-900</t>
  </si>
  <si>
    <t>Asa Norte</t>
  </si>
  <si>
    <t>Montes Claros Shopping</t>
  </si>
  <si>
    <t>(38) 2101-8400</t>
  </si>
  <si>
    <t>Av. Donato Quintino</t>
  </si>
  <si>
    <t>39400-546</t>
  </si>
  <si>
    <t>Cidade Nova</t>
  </si>
  <si>
    <t>Montes Claros</t>
  </si>
  <si>
    <t>Shopping Via Sul</t>
  </si>
  <si>
    <t>(85) 3402-5614</t>
  </si>
  <si>
    <t>Av. Washington Soares</t>
  </si>
  <si>
    <t>MUC 4 1° Pavimento Via Sul Shopping</t>
  </si>
  <si>
    <t>60833-005</t>
  </si>
  <si>
    <t>Sapiranga</t>
  </si>
  <si>
    <t>Shopping Plaza Macaé</t>
  </si>
  <si>
    <t>(22) 3311-1600</t>
  </si>
  <si>
    <t>R. Aloísio da Silva Gomes</t>
  </si>
  <si>
    <t>Loja 166 - Plaza Macaé</t>
  </si>
  <si>
    <t>27930-560</t>
  </si>
  <si>
    <t>Granja dos Cavaleiros</t>
  </si>
  <si>
    <t>Macaé</t>
  </si>
  <si>
    <t>Andorinha Hiper Center</t>
  </si>
  <si>
    <t>(11) 2109-3192</t>
  </si>
  <si>
    <t>R. Conselheiro Moreira de Barros</t>
  </si>
  <si>
    <t>02430-002</t>
  </si>
  <si>
    <t>Lauzane Paulista</t>
  </si>
  <si>
    <t>Itaboraí</t>
  </si>
  <si>
    <t>(11) 2138-8593</t>
  </si>
  <si>
    <t>Av. Vinte e Dois de Maio</t>
  </si>
  <si>
    <t>Loja C do Centro Comercial</t>
  </si>
  <si>
    <t>24800-907</t>
  </si>
  <si>
    <t>Outeiro das Pedras</t>
  </si>
  <si>
    <t>Belém (Centro)</t>
  </si>
  <si>
    <t>(91) 3204-7600</t>
  </si>
  <si>
    <t>R. Conselheiro João Alfredo</t>
  </si>
  <si>
    <t>66013-000</t>
  </si>
  <si>
    <t>Campina</t>
  </si>
  <si>
    <t>Porto Velho Shopping</t>
  </si>
  <si>
    <t>(69) 3533-5350</t>
  </si>
  <si>
    <t>Av. Rio Madeira</t>
  </si>
  <si>
    <t>Espaço Comercial n° 214</t>
  </si>
  <si>
    <t>76820-408</t>
  </si>
  <si>
    <t>Flodoaldo Pontes Pinto</t>
  </si>
  <si>
    <t>Shopping Pátio Maceió</t>
  </si>
  <si>
    <t>(82) 2122-1000</t>
  </si>
  <si>
    <t>Av. Menino Marcelo</t>
  </si>
  <si>
    <t>Loja Ancora n° 7 Shopping Patio Maceio</t>
  </si>
  <si>
    <t>57073-470</t>
  </si>
  <si>
    <t>Cidade Universitaria</t>
  </si>
  <si>
    <t>Lapa</t>
  </si>
  <si>
    <t>(11) 2138-8514</t>
  </si>
  <si>
    <t>R. Doze de Outubro</t>
  </si>
  <si>
    <t>05073-000</t>
  </si>
  <si>
    <t>Manauara Shopping</t>
  </si>
  <si>
    <t>(92) 3182-8950</t>
  </si>
  <si>
    <t>Av. Mario Ypiranga</t>
  </si>
  <si>
    <t>EUC n.º 2- Piso Tucumã</t>
  </si>
  <si>
    <t>69057-002</t>
  </si>
  <si>
    <t>Adrianopolis</t>
  </si>
  <si>
    <t>Chapecó</t>
  </si>
  <si>
    <t>(49) 3311-2450</t>
  </si>
  <si>
    <t>R. Getulio Dorneles Vargas</t>
  </si>
  <si>
    <t>89802-000</t>
  </si>
  <si>
    <t>Itaquaquecetuba</t>
  </si>
  <si>
    <t>(11) 2595-4850</t>
  </si>
  <si>
    <t>Pça. Padre João Álvares</t>
  </si>
  <si>
    <t>08570-050</t>
  </si>
  <si>
    <t>Pátio Central Shopping</t>
  </si>
  <si>
    <t>(34) 2106-6100</t>
  </si>
  <si>
    <t>Pça. Alexina Cândida Conceição</t>
  </si>
  <si>
    <t>Luc 28 - Âncora 2 - Pátio Central Shopping</t>
  </si>
  <si>
    <t>38700-022</t>
  </si>
  <si>
    <t>Patos de Minas</t>
  </si>
  <si>
    <t>Rio Verde</t>
  </si>
  <si>
    <t>(11) 2109-6051</t>
  </si>
  <si>
    <t>Av. Pres. Vargas</t>
  </si>
  <si>
    <t>e Rua Costa Gomes, 919</t>
  </si>
  <si>
    <t>75901-040</t>
  </si>
  <si>
    <t>Setor Central</t>
  </si>
  <si>
    <t xml:space="preserve">Prudenshopping </t>
  </si>
  <si>
    <t>(18) 3344 2309</t>
  </si>
  <si>
    <t>Av. Manoel Goulart</t>
  </si>
  <si>
    <t>Prudenshopping - SUC n° 232</t>
  </si>
  <si>
    <t>19060-000</t>
  </si>
  <si>
    <t>Vila Santa Helena</t>
  </si>
  <si>
    <t>Presidente Prudente</t>
  </si>
  <si>
    <t>Bauru Shopping</t>
  </si>
  <si>
    <t>(14) 3201-4160</t>
  </si>
  <si>
    <t>R. Henrique Savi</t>
  </si>
  <si>
    <t>Quadra 15, loja AM 74</t>
  </si>
  <si>
    <t>17011-900</t>
  </si>
  <si>
    <t>Vila Cidade Universitaria</t>
  </si>
  <si>
    <t>Bauru</t>
  </si>
  <si>
    <t>Pelotas</t>
  </si>
  <si>
    <t>(53) 3321-5200</t>
  </si>
  <si>
    <t>R. Andrade Neves</t>
  </si>
  <si>
    <t>com a Rua General Osório, 716 - Centro</t>
  </si>
  <si>
    <t>96020-080</t>
  </si>
  <si>
    <t>Bella Città Shopping</t>
  </si>
  <si>
    <t>(54) 3601-6500</t>
  </si>
  <si>
    <t>R. Cel. Chicuta</t>
  </si>
  <si>
    <t>SUC 328 - 3° Andar - Bella Citta Shopping Center</t>
  </si>
  <si>
    <t>99010-050</t>
  </si>
  <si>
    <t>Passo Fundo</t>
  </si>
  <si>
    <t>Rio Anil Shopping</t>
  </si>
  <si>
    <t>(98) 3313-5400</t>
  </si>
  <si>
    <t>Av. São Luis Rei de França</t>
  </si>
  <si>
    <t>SUC 236 LOTEAMENT TURU</t>
  </si>
  <si>
    <t>65065-470</t>
  </si>
  <si>
    <t>Turu</t>
  </si>
  <si>
    <t xml:space="preserve">Shopping Sul </t>
  </si>
  <si>
    <t>(61) 2107-0150</t>
  </si>
  <si>
    <t>Rod. Br. 040</t>
  </si>
  <si>
    <t>Km 12 - Qd.1 Gleba</t>
  </si>
  <si>
    <t>72876-902</t>
  </si>
  <si>
    <t>Parque Esplanada Tres</t>
  </si>
  <si>
    <t>Valparaíso de Goiás</t>
  </si>
  <si>
    <t>Imperatriz</t>
  </si>
  <si>
    <t>(99) 3221-7254</t>
  </si>
  <si>
    <t>65903-280</t>
  </si>
  <si>
    <t>Portal Shopping</t>
  </si>
  <si>
    <t>(62) 3878-3700</t>
  </si>
  <si>
    <t>Av. Anhanguera</t>
  </si>
  <si>
    <t>Quadra Área, Lote 39/A/E, n° 14.44 – LUC n° 272</t>
  </si>
  <si>
    <t>74450-010</t>
  </si>
  <si>
    <t>Capuava</t>
  </si>
  <si>
    <t>Capim Dourado Shopping</t>
  </si>
  <si>
    <t>(63) 3232-8609</t>
  </si>
  <si>
    <t>Av. Juscelino Kubitschesk</t>
  </si>
  <si>
    <t>Quadra 17 Norte - Capim Dourado Shopping</t>
  </si>
  <si>
    <t>77001-080</t>
  </si>
  <si>
    <t>Plano Diretor Norte</t>
  </si>
  <si>
    <t>Palmas</t>
  </si>
  <si>
    <t>TO</t>
  </si>
  <si>
    <t>Tivoli Shopping</t>
  </si>
  <si>
    <t>(19) 3026-1450</t>
  </si>
  <si>
    <t>Av. Santa Bárbara</t>
  </si>
  <si>
    <t>Tivoli - Shopping Center - Loja n° C1</t>
  </si>
  <si>
    <t>13456-080</t>
  </si>
  <si>
    <t>Jardim Sao Francisco</t>
  </si>
  <si>
    <t>Santa Bárbara d´Oeste</t>
  </si>
  <si>
    <t>Taguatinga Shopping</t>
  </si>
  <si>
    <t>(61) 3878-9159</t>
  </si>
  <si>
    <t>R. 210 Quadra Qs 01 Lote,40</t>
  </si>
  <si>
    <t>Loja 393 - 3° Andar - Taguatinga Shopping</t>
  </si>
  <si>
    <t>71950-904</t>
  </si>
  <si>
    <t>Taguatinga Sul</t>
  </si>
  <si>
    <t>Shopping Sete Lagos</t>
  </si>
  <si>
    <t>(31) 3027-5050</t>
  </si>
  <si>
    <t>Av. Otavio Campelo Ribeiro</t>
  </si>
  <si>
    <t>Shopping Center Sete Lagoas - LUC nº 219</t>
  </si>
  <si>
    <t>35702-153</t>
  </si>
  <si>
    <t>Eldorado</t>
  </si>
  <si>
    <t>Sete Lagoas</t>
  </si>
  <si>
    <t>Bourbon Shopping Wallig</t>
  </si>
  <si>
    <t>(51) 3778-6100</t>
  </si>
  <si>
    <t>Suc 223</t>
  </si>
  <si>
    <t>91010-006</t>
  </si>
  <si>
    <t>Bourbon Shop</t>
  </si>
  <si>
    <t xml:space="preserve">Center Shopping </t>
  </si>
  <si>
    <t>(34) 3303-6409</t>
  </si>
  <si>
    <t>Av. João Naves de Ávila</t>
  </si>
  <si>
    <t>Loja 57 - Shopping Uberlândia - Bairro Santa Mônica</t>
  </si>
  <si>
    <t>38405-176</t>
  </si>
  <si>
    <t>Tibery</t>
  </si>
  <si>
    <t>Uberlândia</t>
  </si>
  <si>
    <t>Norte Sul Plaza Shopping</t>
  </si>
  <si>
    <t>(67) 3304-8600</t>
  </si>
  <si>
    <t>Av. Pres. Ernesto Geisel</t>
  </si>
  <si>
    <t>Salão Comercial n° 4 - Piso 1° - Shopping Norte Sul Plaza</t>
  </si>
  <si>
    <t>79008-411</t>
  </si>
  <si>
    <t>Raposo Shopping</t>
  </si>
  <si>
    <t>(11) 2109-6477</t>
  </si>
  <si>
    <t>Rod. Raposo Tavares</t>
  </si>
  <si>
    <t>Km 15</t>
  </si>
  <si>
    <t>05576-100</t>
  </si>
  <si>
    <t>Jardim Boa Vista</t>
  </si>
  <si>
    <t>Shopping Via Catarina</t>
  </si>
  <si>
    <t>(48) 3298-9800</t>
  </si>
  <si>
    <t>Av. Atilio Pedro Pagani</t>
  </si>
  <si>
    <t>SUC Ancora 1 - 1º Piso - bairro Passa Vinte - Palhoça</t>
  </si>
  <si>
    <t>88132-149</t>
  </si>
  <si>
    <t>Passa Vinte</t>
  </si>
  <si>
    <t>Palhoça</t>
  </si>
  <si>
    <t>Itapê Shopping</t>
  </si>
  <si>
    <t>(11) 2138-8540</t>
  </si>
  <si>
    <t>R. Dr. Coutinho</t>
  </si>
  <si>
    <t>LUC 11 - Shopping Itapetininga</t>
  </si>
  <si>
    <t>18200-358</t>
  </si>
  <si>
    <t>Itapetininga</t>
  </si>
  <si>
    <t>Royal Plaza Shopping</t>
  </si>
  <si>
    <t>(11) 2109-6015</t>
  </si>
  <si>
    <t>Av. Nossa Senhora das Dores</t>
  </si>
  <si>
    <t>Unidade Comercial de n° 225-A do Royal Plaza Shopping Center</t>
  </si>
  <si>
    <t>97050-531</t>
  </si>
  <si>
    <t>Santa Maria</t>
  </si>
  <si>
    <t>Av. Paulista</t>
  </si>
  <si>
    <t>(11) 2109-3176</t>
  </si>
  <si>
    <t>E 424</t>
  </si>
  <si>
    <t>01310-000</t>
  </si>
  <si>
    <t>Bela Vista</t>
  </si>
  <si>
    <t>Parque Shopping Belém</t>
  </si>
  <si>
    <t>(91) 3366-6080</t>
  </si>
  <si>
    <t>Rod. Augusto Montenegro</t>
  </si>
  <si>
    <t>Loja nº 115 – Parque Shopping Belém</t>
  </si>
  <si>
    <t>66635-110</t>
  </si>
  <si>
    <t>Parque Verde</t>
  </si>
  <si>
    <t>Shopping Jaraguá Indaiatuba</t>
  </si>
  <si>
    <t>(19) 3801-9280</t>
  </si>
  <si>
    <t>R. 15 de Novembro</t>
  </si>
  <si>
    <t>Suc n° 6/69 - Shoppin Jaraguá</t>
  </si>
  <si>
    <t>13330-070</t>
  </si>
  <si>
    <t>Vila Almeida</t>
  </si>
  <si>
    <t>Indaiatuba</t>
  </si>
  <si>
    <t>(51) 3455-5601</t>
  </si>
  <si>
    <t>R. Tiradentes</t>
  </si>
  <si>
    <t>92010-260</t>
  </si>
  <si>
    <t>Itajaí</t>
  </si>
  <si>
    <t>(47) 3405-3300</t>
  </si>
  <si>
    <t>R. Hercilio Luz</t>
  </si>
  <si>
    <t>88301-001</t>
  </si>
  <si>
    <t>Garden Shopping Catanduva</t>
  </si>
  <si>
    <t>(17) 3524-9850</t>
  </si>
  <si>
    <t>Av. Eng. José Nelson Machado</t>
  </si>
  <si>
    <t>LUC nº A 18/23 - Garden Catanduva shopping</t>
  </si>
  <si>
    <t>15800-200</t>
  </si>
  <si>
    <t>Catanduva</t>
  </si>
  <si>
    <t>Mossoró</t>
  </si>
  <si>
    <t>(84) 3422-3950</t>
  </si>
  <si>
    <t>R. Coronel Gurgel Pç. Bento Praxedes</t>
  </si>
  <si>
    <t>com esquina Praça Bento Praxedes, n° 78, com esquina na Rua Alfredo Fernandes, n° 272, com esquina na Praça Rodolfo Fernandes, 2</t>
  </si>
  <si>
    <t>59600-200</t>
  </si>
  <si>
    <t>Bangú Shopping</t>
  </si>
  <si>
    <t>(21) 2199-4250</t>
  </si>
  <si>
    <t>R. Fonseca</t>
  </si>
  <si>
    <t>EUC nº L-153 – Bangu Shopping</t>
  </si>
  <si>
    <t>21820-005</t>
  </si>
  <si>
    <t>Bangu</t>
  </si>
  <si>
    <t>North Shopping Barretos</t>
  </si>
  <si>
    <t>(17) 3321-0050</t>
  </si>
  <si>
    <t>Via Conselheiro Antônio Prado</t>
  </si>
  <si>
    <t>LUC nº. 4 – Piso Térreo – North Shopping Barreto</t>
  </si>
  <si>
    <t>14784-200</t>
  </si>
  <si>
    <t>Pedro Cavalini</t>
  </si>
  <si>
    <t>Barretos</t>
  </si>
  <si>
    <t>Barro Preto</t>
  </si>
  <si>
    <t>(31) 3878-3350</t>
  </si>
  <si>
    <t>Av. Augusto de Lima</t>
  </si>
  <si>
    <t>30190-003</t>
  </si>
  <si>
    <t>Cidade Dutra</t>
  </si>
  <si>
    <t>(11) 2138-8519</t>
  </si>
  <si>
    <t>Av. Sen. Teotônio Vilela</t>
  </si>
  <si>
    <t>04801-000</t>
  </si>
  <si>
    <t>Salvador Norte Shopping</t>
  </si>
  <si>
    <t>(71) 3417-3916</t>
  </si>
  <si>
    <t>Rod. Ba 526</t>
  </si>
  <si>
    <t>Salão Comercial nº 116/117 - Setor Comercial, nº 12 - Piso L1 - Salvador Norte shopping</t>
  </si>
  <si>
    <t>41510-000</t>
  </si>
  <si>
    <t>São Cristovão</t>
  </si>
  <si>
    <t>Lauro de Freitas</t>
  </si>
  <si>
    <t>Poços de Caldas Shopping</t>
  </si>
  <si>
    <t>(35) 3066-6724</t>
  </si>
  <si>
    <t>Av. Silvio Monteiro dos Santos</t>
  </si>
  <si>
    <t>Loja n° 133 e 142 – Minas Sul Shopping</t>
  </si>
  <si>
    <t>37704-369</t>
  </si>
  <si>
    <t>Vila Cascata das Antas</t>
  </si>
  <si>
    <t>Poços de Caldas</t>
  </si>
  <si>
    <t>Andradas</t>
  </si>
  <si>
    <t>(51) 3455-7750</t>
  </si>
  <si>
    <t>R. dos Andradas</t>
  </si>
  <si>
    <t>90020-011</t>
  </si>
  <si>
    <t>Centro Historico</t>
  </si>
  <si>
    <t>Shopping SP Market</t>
  </si>
  <si>
    <t>(11) 2109-6479</t>
  </si>
  <si>
    <t>Av. das Nações Unidas</t>
  </si>
  <si>
    <t>Loja n° AC-5 – Shopping SP Market Center</t>
  </si>
  <si>
    <t>04795-000</t>
  </si>
  <si>
    <t>(81) 3878-4150</t>
  </si>
  <si>
    <t>Av. Conde da Boa Vista</t>
  </si>
  <si>
    <t>Loja nº 2</t>
  </si>
  <si>
    <t>50060-004</t>
  </si>
  <si>
    <t>Boa Vista</t>
  </si>
  <si>
    <t>Juíz de Fora</t>
  </si>
  <si>
    <t>(32) 3311-6300</t>
  </si>
  <si>
    <t>R. Halfeld</t>
  </si>
  <si>
    <t>654 E,658</t>
  </si>
  <si>
    <t>36010-002</t>
  </si>
  <si>
    <t>Juiz de Fora</t>
  </si>
  <si>
    <t>Mooca</t>
  </si>
  <si>
    <t>(11) 2109-3177</t>
  </si>
  <si>
    <t>R. da Mooca</t>
  </si>
  <si>
    <t>e 2131</t>
  </si>
  <si>
    <t>03103-003</t>
  </si>
  <si>
    <t>Shopping Valinhos</t>
  </si>
  <si>
    <t>(19) 3829-6700</t>
  </si>
  <si>
    <t>R. Luiz Spiandorelli Neto</t>
  </si>
  <si>
    <t>LUC n° 114, 115 e 12 – Shopping Valinhos</t>
  </si>
  <si>
    <t>13271-570</t>
  </si>
  <si>
    <t>Loteado Paiquere</t>
  </si>
  <si>
    <t>Valinhos</t>
  </si>
  <si>
    <t>Amazonas Shopping</t>
  </si>
  <si>
    <t>(92) 2127-3830</t>
  </si>
  <si>
    <t>Av. Djalma Batista</t>
  </si>
  <si>
    <t>Loja 246</t>
  </si>
  <si>
    <t>69050-010</t>
  </si>
  <si>
    <t>Parque 10 de Novembro</t>
  </si>
  <si>
    <t>Cariacica</t>
  </si>
  <si>
    <t>(27) 3202-2900</t>
  </si>
  <si>
    <t>Av. Expedito Garcia</t>
  </si>
  <si>
    <t>29146-200</t>
  </si>
  <si>
    <t>ES</t>
  </si>
  <si>
    <t>(11) 2138-8536</t>
  </si>
  <si>
    <t>01311-200</t>
  </si>
  <si>
    <t>(22) 2106-5750</t>
  </si>
  <si>
    <t>Av. Rui Barbosa</t>
  </si>
  <si>
    <t>27910-361</t>
  </si>
  <si>
    <t>Boqueirão</t>
  </si>
  <si>
    <t>(13) 3476-1003</t>
  </si>
  <si>
    <t>Av. Presidente Costa e Silva</t>
  </si>
  <si>
    <t>11700-005</t>
  </si>
  <si>
    <t>Boqueirao</t>
  </si>
  <si>
    <t>Ceilândia</t>
  </si>
  <si>
    <t>(61) 2101-3400</t>
  </si>
  <si>
    <t>Quadra QNM 12</t>
  </si>
  <si>
    <t>Lote 21 - Loja 1-A</t>
  </si>
  <si>
    <t>72210-120</t>
  </si>
  <si>
    <t>Ceilandia Norte</t>
  </si>
  <si>
    <t>Gama</t>
  </si>
  <si>
    <t>(61) 2101-2515</t>
  </si>
  <si>
    <t>Setor Hoteleiro Lote 1 – Loja 5</t>
  </si>
  <si>
    <t>72405-600</t>
  </si>
  <si>
    <t>Shopping Mestre Álvaro</t>
  </si>
  <si>
    <t>(27) 2104-3700</t>
  </si>
  <si>
    <t>Av. João Palácios</t>
  </si>
  <si>
    <t>Suc Nº 34 A/B/C Piso L - 3 - Shopping Mestre Alvaro</t>
  </si>
  <si>
    <t>29160-161</t>
  </si>
  <si>
    <t>Eurico Salles</t>
  </si>
  <si>
    <t>Serra</t>
  </si>
  <si>
    <t>Duque de Caxias</t>
  </si>
  <si>
    <t>(21) 3747-5900</t>
  </si>
  <si>
    <t>R. José de Alvarenga</t>
  </si>
  <si>
    <t>179 181 E,183 / Fds na Av. Dr. Manuel Teles, a e B, 134</t>
  </si>
  <si>
    <t>25020-140</t>
  </si>
  <si>
    <t>Portal Sul Shopping</t>
  </si>
  <si>
    <t>(62) 3612-5465</t>
  </si>
  <si>
    <t>Av. dos Ipês</t>
  </si>
  <si>
    <t>ÁREA -  LOTE 2 - JD LISBOA</t>
  </si>
  <si>
    <t>74354-594</t>
  </si>
  <si>
    <t>Setor Maria Celest</t>
  </si>
  <si>
    <t>Shopping Uai - São José</t>
  </si>
  <si>
    <t>(92) 3878-4950</t>
  </si>
  <si>
    <t>Av. Cosme Ferreira</t>
  </si>
  <si>
    <t>Loja 55 - Uai Shopping São José</t>
  </si>
  <si>
    <t>69085-015</t>
  </si>
  <si>
    <t>Vila Sao Jose</t>
  </si>
  <si>
    <t>Parque Shopping Barueri</t>
  </si>
  <si>
    <t>(11) 2138-8535</t>
  </si>
  <si>
    <t>R. Gen. de Divisão de Pedro Rodrigues da Silva</t>
  </si>
  <si>
    <t xml:space="preserve">Luc 112 - Parque Shopping Barueri </t>
  </si>
  <si>
    <t>06440-180</t>
  </si>
  <si>
    <t>Nova Aldeinha</t>
  </si>
  <si>
    <t>Barueri</t>
  </si>
  <si>
    <t>Poá</t>
  </si>
  <si>
    <t>(11) 4634-7000</t>
  </si>
  <si>
    <t>Av. Nove de Julho</t>
  </si>
  <si>
    <t>08550-100</t>
  </si>
  <si>
    <t>Pátio Divinópolis</t>
  </si>
  <si>
    <t>(37) 3301-2350</t>
  </si>
  <si>
    <t>R. Moacir José Leite</t>
  </si>
  <si>
    <t>Lojas n° B/D/11/167/184, Piso Térreo – Terra Parque Shopping</t>
  </si>
  <si>
    <t>35500-119</t>
  </si>
  <si>
    <t>Jardim Nova America</t>
  </si>
  <si>
    <t>Divinópolis</t>
  </si>
  <si>
    <t>Shopping Bela Vista</t>
  </si>
  <si>
    <t>(71) 3617-1985</t>
  </si>
  <si>
    <t>R. dos Rodoviários</t>
  </si>
  <si>
    <t>S/N - Salão Comercial Nº 5 - 1º Piso</t>
  </si>
  <si>
    <t>41150-125</t>
  </si>
  <si>
    <t>Cabula</t>
  </si>
  <si>
    <t>Londrina Norte Shopping</t>
  </si>
  <si>
    <t>(43) 3306-5108</t>
  </si>
  <si>
    <t>Av. Américo Deolindo Garla</t>
  </si>
  <si>
    <t>Luc A1 - Loteamento Londrina Norte</t>
  </si>
  <si>
    <t>86079-225</t>
  </si>
  <si>
    <t>Gleba Jacutinga</t>
  </si>
  <si>
    <t>Londrina</t>
  </si>
  <si>
    <t>(11) 2138-8521</t>
  </si>
  <si>
    <t>Av. Henriqueta Mendes Guerra</t>
  </si>
  <si>
    <t>06401-160</t>
  </si>
  <si>
    <t>Vila São José</t>
  </si>
  <si>
    <t>Shopping da Ilha</t>
  </si>
  <si>
    <t>(98) 3878-3600</t>
  </si>
  <si>
    <t>Av. Daniel de La Touche</t>
  </si>
  <si>
    <t>Suc N° 21 e Piso L - 2 - Shopping da Ilha</t>
  </si>
  <si>
    <t>65061-021</t>
  </si>
  <si>
    <t>Bequimão</t>
  </si>
  <si>
    <t xml:space="preserve">Shopping Hortolândia </t>
  </si>
  <si>
    <t>(19) 3865-8691</t>
  </si>
  <si>
    <t>R. José Camilo de Camargo</t>
  </si>
  <si>
    <t>LUC n° 242/243 - Shopping Hortolândia</t>
  </si>
  <si>
    <t>13184-494</t>
  </si>
  <si>
    <t>Remanso Campineiro</t>
  </si>
  <si>
    <t>Hortolândia</t>
  </si>
  <si>
    <t>Serra Mar Shopping</t>
  </si>
  <si>
    <t>(12) 3885-2210</t>
  </si>
  <si>
    <t>Av. José Herculano</t>
  </si>
  <si>
    <t>Loja Nº F-9 - Serramar Parque Shopping</t>
  </si>
  <si>
    <t>11666-000</t>
  </si>
  <si>
    <t>Jardim Britania</t>
  </si>
  <si>
    <t>Caraguatatuba</t>
  </si>
  <si>
    <t>Bragança Paulista</t>
  </si>
  <si>
    <t>(11) 4034-6420</t>
  </si>
  <si>
    <t>R. Coronel João Leme</t>
  </si>
  <si>
    <t>12900-160</t>
  </si>
  <si>
    <t>(95) 3212-5200</t>
  </si>
  <si>
    <t>Av. Sebastião Diniz</t>
  </si>
  <si>
    <t>E 945-B</t>
  </si>
  <si>
    <t>69301-040</t>
  </si>
  <si>
    <t>RR</t>
  </si>
  <si>
    <t>Via Verde Shopping</t>
  </si>
  <si>
    <t>(68) 3303-8400</t>
  </si>
  <si>
    <t>Estrada da Floresta</t>
  </si>
  <si>
    <t>Loja 31/34, Rotatória com Rodovia BR-364, Via Verde, Shopping Via Verde</t>
  </si>
  <si>
    <t>69914-220</t>
  </si>
  <si>
    <t>Porto Alegre Center Lar</t>
  </si>
  <si>
    <t>(51) 3778-5001</t>
  </si>
  <si>
    <t>Av. Sertório</t>
  </si>
  <si>
    <t xml:space="preserve">Térreo - Suc´s: 122/123/124/125/126/127/128 - Shopping Centerlar </t>
  </si>
  <si>
    <t>91130-720</t>
  </si>
  <si>
    <t>Sarandi</t>
  </si>
  <si>
    <t>Venda Nova</t>
  </si>
  <si>
    <t>(31) 3888-4980</t>
  </si>
  <si>
    <t>R. Pe. Pedro Pinto</t>
  </si>
  <si>
    <t>31615-310</t>
  </si>
  <si>
    <t>Itapevi</t>
  </si>
  <si>
    <t>(11) 2138-8525</t>
  </si>
  <si>
    <t>Av. Cesário de Abreu</t>
  </si>
  <si>
    <t>06653-020</t>
  </si>
  <si>
    <t>Santarém</t>
  </si>
  <si>
    <t>(93) 2101-6600</t>
  </si>
  <si>
    <t>R. Siqueira Campos</t>
  </si>
  <si>
    <t>E 397</t>
  </si>
  <si>
    <t>68005-020</t>
  </si>
  <si>
    <t>Av. Taboão</t>
  </si>
  <si>
    <t>(11) 2138-8531</t>
  </si>
  <si>
    <t>Av. do Taboão</t>
  </si>
  <si>
    <t>S/N - Lotes 1162 e 1163 - Quadra 57</t>
  </si>
  <si>
    <t>09655-000</t>
  </si>
  <si>
    <t>Sao Bernardo do Campo</t>
  </si>
  <si>
    <t xml:space="preserve">Shopping Cidade Norte </t>
  </si>
  <si>
    <t>(17) 3206-2910</t>
  </si>
  <si>
    <t>Av. Alfredo Antônio de Oliveira</t>
  </si>
  <si>
    <t xml:space="preserve">Euc N° 139 - Piso Térreo - Shopping Cidade Norte </t>
  </si>
  <si>
    <t>15046-355</t>
  </si>
  <si>
    <t>Jardim Marajo</t>
  </si>
  <si>
    <t>Vila Nova Cachoeirinha</t>
  </si>
  <si>
    <t>(11) 2109-3181</t>
  </si>
  <si>
    <t>Av. Parada Pinto</t>
  </si>
  <si>
    <t>E 354, 358 e 37</t>
  </si>
  <si>
    <t>02611-002</t>
  </si>
  <si>
    <t>V N Cachoeirinha</t>
  </si>
  <si>
    <t>Vila Maria</t>
  </si>
  <si>
    <t>(11) 2109-3179</t>
  </si>
  <si>
    <t>Av. Guilherme Cotching</t>
  </si>
  <si>
    <t>02113-015</t>
  </si>
  <si>
    <t>Franco da Rocha</t>
  </si>
  <si>
    <t>(11) 2450-1000</t>
  </si>
  <si>
    <t>R. Dr. Hamilton Prado</t>
  </si>
  <si>
    <t>21/23/29 com fundos para a Rua Faliero Del Debio, 197</t>
  </si>
  <si>
    <t>07841-050</t>
  </si>
  <si>
    <t>Shopping Pátio Belém</t>
  </si>
  <si>
    <t>(91) 3366-2950</t>
  </si>
  <si>
    <t>Travessa Padre Eutíquio</t>
  </si>
  <si>
    <t>Loja n° 318/9 - 3° Piso - Shopping Pátio Belém</t>
  </si>
  <si>
    <t>66023-710</t>
  </si>
  <si>
    <t>Batista Campos</t>
  </si>
  <si>
    <t>Vila Prudente</t>
  </si>
  <si>
    <t>(11) 2138-8512</t>
  </si>
  <si>
    <t>R. Ibitirama</t>
  </si>
  <si>
    <t>E 62 e 66</t>
  </si>
  <si>
    <t>03134-000</t>
  </si>
  <si>
    <t>Vila Formosa</t>
  </si>
  <si>
    <t>(11) 2138-8533</t>
  </si>
  <si>
    <t>Av. Dr. Eduardo Cotching</t>
  </si>
  <si>
    <t>03356-001</t>
  </si>
  <si>
    <t>Campos Goytacazes</t>
  </si>
  <si>
    <t>(22) 3234-1900</t>
  </si>
  <si>
    <t>28010-250</t>
  </si>
  <si>
    <t>Campos dos Goytacazes</t>
  </si>
  <si>
    <t>Shopping Estação Bh</t>
  </si>
  <si>
    <t>(31) 3878-8980</t>
  </si>
  <si>
    <t>Luc 268 - Piso L2 - Shopping Estação BH</t>
  </si>
  <si>
    <t>31760-000</t>
  </si>
  <si>
    <t>Vila Cloris</t>
  </si>
  <si>
    <t>Jabaquara</t>
  </si>
  <si>
    <t>(11) 2138-8515</t>
  </si>
  <si>
    <t>Av. Jabaquara</t>
  </si>
  <si>
    <t>04046-200</t>
  </si>
  <si>
    <t>Mirandopolis</t>
  </si>
  <si>
    <t>Amapá Garden Shopping</t>
  </si>
  <si>
    <t>(96) 3082-3600</t>
  </si>
  <si>
    <t>Rod. Juscelino Kubistchek</t>
  </si>
  <si>
    <t>S/N - Km 2 - Loja 213 - Piso L1 – Amapá Garden Shopping</t>
  </si>
  <si>
    <t>68903-419</t>
  </si>
  <si>
    <t>Universidade</t>
  </si>
  <si>
    <t>Caxias do Sul</t>
  </si>
  <si>
    <t>(54) 3733-7700</t>
  </si>
  <si>
    <t>R. Sinimbu</t>
  </si>
  <si>
    <t>Lojas Nº 1, 2 e 3</t>
  </si>
  <si>
    <t>95020-002</t>
  </si>
  <si>
    <t>Bagé</t>
  </si>
  <si>
    <t>(53) 3313-1600</t>
  </si>
  <si>
    <t>Térreo e 1º Andar</t>
  </si>
  <si>
    <t>96400-003</t>
  </si>
  <si>
    <t>Teófilo Otoni</t>
  </si>
  <si>
    <t>(33) 3087-3070</t>
  </si>
  <si>
    <t>R. Epaminondas Otoni</t>
  </si>
  <si>
    <t>39800-013</t>
  </si>
  <si>
    <t>Partage Shopping Betim</t>
  </si>
  <si>
    <t>(31) 3303-7052</t>
  </si>
  <si>
    <t>Rod. Br. 381 Fernão Dias</t>
  </si>
  <si>
    <t>KM nº. 492,61 ao 493,419; Lado Ímpar; Piso L2; Loja 222; Metropolitan Garden Shopping</t>
  </si>
  <si>
    <t>32655-505</t>
  </si>
  <si>
    <t>São João</t>
  </si>
  <si>
    <t>Betim</t>
  </si>
  <si>
    <t>Sh Rio Mar Recife</t>
  </si>
  <si>
    <t>(81) 3797-9411</t>
  </si>
  <si>
    <t>Av. República do Líbano</t>
  </si>
  <si>
    <t>Loja 1148, Salão Comercial 142; Piso L1 - Bairro Pina</t>
  </si>
  <si>
    <t>51110-160</t>
  </si>
  <si>
    <t>Pina</t>
  </si>
  <si>
    <t>Shopping Praia de Belas</t>
  </si>
  <si>
    <t>(51) 3302-5400</t>
  </si>
  <si>
    <t>Av. Praia de Belas</t>
  </si>
  <si>
    <t>Loja 372/372 A – Piso 3 – Praia de Belas Shopping Center  - Praia de Belas</t>
  </si>
  <si>
    <t>90110-001</t>
  </si>
  <si>
    <t>Menino Deus</t>
  </si>
  <si>
    <t>Ermelino Matarazzo</t>
  </si>
  <si>
    <t>(11) 2109-6481</t>
  </si>
  <si>
    <t>Av. Paranaguá</t>
  </si>
  <si>
    <t>03806-000</t>
  </si>
  <si>
    <t>Uruguaiana</t>
  </si>
  <si>
    <t>(55) 2102-4180</t>
  </si>
  <si>
    <t>R. General Bento Martins</t>
  </si>
  <si>
    <t>97501-636</t>
  </si>
  <si>
    <t>Shopping Prêmio</t>
  </si>
  <si>
    <t>(79) 3114-4200</t>
  </si>
  <si>
    <t>Av. Coletora A</t>
  </si>
  <si>
    <t xml:space="preserve">S/N - Loja 144 - Shopping Prêmio Socorro Ltda </t>
  </si>
  <si>
    <t>49160-000</t>
  </si>
  <si>
    <t>Conjunto Marcos Freire I</t>
  </si>
  <si>
    <t>Nossa Senhora do Socorro</t>
  </si>
  <si>
    <t>(71) 3617-1280</t>
  </si>
  <si>
    <t>R. José Ernesto dos Santos</t>
  </si>
  <si>
    <t>42700-000</t>
  </si>
  <si>
    <t>Cajazeiras</t>
  </si>
  <si>
    <t>(71) 3878-8400</t>
  </si>
  <si>
    <t>Estr. do Coqueiro Grande</t>
  </si>
  <si>
    <t>41342-315</t>
  </si>
  <si>
    <t>Icoaraci</t>
  </si>
  <si>
    <t>(91) 3205-7800</t>
  </si>
  <si>
    <t>Trav. Cristovão Colombo</t>
  </si>
  <si>
    <t>66810-000</t>
  </si>
  <si>
    <t>Cruzeiro</t>
  </si>
  <si>
    <t>Ananindeua</t>
  </si>
  <si>
    <t>(91) 3346-7330</t>
  </si>
  <si>
    <t>Conjunto Cidade Nova 6 WE 62</t>
  </si>
  <si>
    <t>Loja A</t>
  </si>
  <si>
    <t>67110-000</t>
  </si>
  <si>
    <t>Coqueiro</t>
  </si>
  <si>
    <t>Várzea Grande</t>
  </si>
  <si>
    <t>(65) 3362-6880</t>
  </si>
  <si>
    <t>Av. Couto Magalhaes</t>
  </si>
  <si>
    <t>78110-400</t>
  </si>
  <si>
    <t>Shopping Park Lagos</t>
  </si>
  <si>
    <t>(22) 3058-2600</t>
  </si>
  <si>
    <t>Av. Henrique Terra</t>
  </si>
  <si>
    <t>Anc 2 - 1º Piso – Shopping Park Lagos</t>
  </si>
  <si>
    <t>28900-000</t>
  </si>
  <si>
    <t>Portinho</t>
  </si>
  <si>
    <t>Cabo Frio</t>
  </si>
  <si>
    <t>Rondonópolis</t>
  </si>
  <si>
    <t>(66) 3321-6150</t>
  </si>
  <si>
    <t>Av. Amazonas</t>
  </si>
  <si>
    <t>Quadra 8 Lote 6</t>
  </si>
  <si>
    <t>78700-050</t>
  </si>
  <si>
    <t>Guarapuava</t>
  </si>
  <si>
    <t>(42) 3303-3250</t>
  </si>
  <si>
    <t>R. Saldanha Marinho</t>
  </si>
  <si>
    <t>85010-290</t>
  </si>
  <si>
    <t>Shopping Vila Velha</t>
  </si>
  <si>
    <t>(27) 3422-2970</t>
  </si>
  <si>
    <t>Av. Luciano das Neves</t>
  </si>
  <si>
    <t>LUC nº 13 – Piso L</t>
  </si>
  <si>
    <t>29100-201</t>
  </si>
  <si>
    <t>Duvino Espirito Santo</t>
  </si>
  <si>
    <t>Vila Velha</t>
  </si>
  <si>
    <t>Mangabeiras Shopping</t>
  </si>
  <si>
    <t>(83) 3048-1980</t>
  </si>
  <si>
    <t>Av. Hilton Souto Maior</t>
  </si>
  <si>
    <t>Loteamento Cidade Universitaria</t>
  </si>
  <si>
    <t>58046-600</t>
  </si>
  <si>
    <t>Mangabeira</t>
  </si>
  <si>
    <t xml:space="preserve">Vitória Park Shopping </t>
  </si>
  <si>
    <t>(81) 3114-2450</t>
  </si>
  <si>
    <t>Av. Henrique de Holanda</t>
  </si>
  <si>
    <t>LUC 185 – Vitória Park Shopping</t>
  </si>
  <si>
    <t>55612-901</t>
  </si>
  <si>
    <t>Redenção</t>
  </si>
  <si>
    <t>Vitória de Santo Antão</t>
  </si>
  <si>
    <t>Paulo Afonso</t>
  </si>
  <si>
    <t>(75) 3501-2110</t>
  </si>
  <si>
    <t>Av. Apolônio Sales</t>
  </si>
  <si>
    <t>Sala 2</t>
  </si>
  <si>
    <t>48601-195</t>
  </si>
  <si>
    <t>Pátio Cianê Shopping</t>
  </si>
  <si>
    <t>(15) 3333-1964</t>
  </si>
  <si>
    <t>Av. Dr. Afonso Vergueiro</t>
  </si>
  <si>
    <t>Shopping Pátio Cianê – 1º Piso – Loja 19 – Espaço Comercial nº 1</t>
  </si>
  <si>
    <t>18035-370</t>
  </si>
  <si>
    <t>Sorocaba</t>
  </si>
  <si>
    <t>North Shopping Jóquei</t>
  </si>
  <si>
    <t>(85) 3535-6695</t>
  </si>
  <si>
    <t>Av. Lineu Machado</t>
  </si>
  <si>
    <t>Espaço Comercial 22 – North Shopping Jóquei</t>
  </si>
  <si>
    <t>60520-102</t>
  </si>
  <si>
    <t>Jóquei Clube</t>
  </si>
  <si>
    <t>Paulista North Way Shopping</t>
  </si>
  <si>
    <t>(81) 3201-7030</t>
  </si>
  <si>
    <t>Rod Pe-15 Km 16,5 242</t>
  </si>
  <si>
    <t>Km 16,5 - Âncora 2 - Piso L1 - Paulista North Way Shopping</t>
  </si>
  <si>
    <t>53401-445</t>
  </si>
  <si>
    <t>Paulista</t>
  </si>
  <si>
    <t xml:space="preserve">Shopping Contagem </t>
  </si>
  <si>
    <t>(31) 3768-6380</t>
  </si>
  <si>
    <t>Av. Severino Ballesteros Rodrigues</t>
  </si>
  <si>
    <t>Lj 223 - Piso L2 – Shopping Contagem</t>
  </si>
  <si>
    <t>32110-005</t>
  </si>
  <si>
    <t>Ressaca</t>
  </si>
  <si>
    <t>Boulevard Londrina Shopping</t>
  </si>
  <si>
    <t>(43) 3301-8312</t>
  </si>
  <si>
    <t>Rua Theodoro Victorelli</t>
  </si>
  <si>
    <t>Euc Lsu 4</t>
  </si>
  <si>
    <t>86027-750</t>
  </si>
  <si>
    <t>Helena</t>
  </si>
  <si>
    <t>Passeio das Águas Shopping</t>
  </si>
  <si>
    <t>(62) 3878-5650</t>
  </si>
  <si>
    <t>Av. Perimetral Norte</t>
  </si>
  <si>
    <t>Lsu-A</t>
  </si>
  <si>
    <t>74445-360</t>
  </si>
  <si>
    <t>Fazenda Caveiras</t>
  </si>
  <si>
    <t>Itapecerica Shopping</t>
  </si>
  <si>
    <t>(11) 2109-6448</t>
  </si>
  <si>
    <t>Espaço Comercial nº 15/24/24/26 – Térreo e 1º Pavimento – Shopping Itapecerica</t>
  </si>
  <si>
    <t>06850-100</t>
  </si>
  <si>
    <t>Itapecerica da Serra</t>
  </si>
  <si>
    <t xml:space="preserve">Shopping Db Nova Cidade </t>
  </si>
  <si>
    <t>(92) 3303-9530</t>
  </si>
  <si>
    <t>Av. Margarita</t>
  </si>
  <si>
    <t>Âncora 3</t>
  </si>
  <si>
    <t>69097-305</t>
  </si>
  <si>
    <t>Tietê Plaza Shopping</t>
  </si>
  <si>
    <t>(11) 2109-6018</t>
  </si>
  <si>
    <t>Av. Raimundo Pereira de Magalhães</t>
  </si>
  <si>
    <t>Suc 141 - Térreo – Tiete Plaza Shopping</t>
  </si>
  <si>
    <t>05145-000</t>
  </si>
  <si>
    <t>Pirituba</t>
  </si>
  <si>
    <t>Nova Friburgo</t>
  </si>
  <si>
    <t>(22) 2103-3102</t>
  </si>
  <si>
    <t>R. Comandante Ribeiro de Barros</t>
  </si>
  <si>
    <t>E 13 - Ljs B e C com Avenida Alberto Braune  nº 262 – Centro</t>
  </si>
  <si>
    <t>28613-100</t>
  </si>
  <si>
    <t>Castanhal</t>
  </si>
  <si>
    <t>(91) 3311-4650</t>
  </si>
  <si>
    <t>Av. Barão do Rio Branco</t>
  </si>
  <si>
    <t>68743-050</t>
  </si>
  <si>
    <t>Teresina Shopping</t>
  </si>
  <si>
    <t>(86) 3301-6020</t>
  </si>
  <si>
    <t>Av. Raul Lopes</t>
  </si>
  <si>
    <t>64048-065</t>
  </si>
  <si>
    <t>Fátima</t>
  </si>
  <si>
    <t>São Luis Shopping</t>
  </si>
  <si>
    <t>(98) 3313-3939</t>
  </si>
  <si>
    <t>Av. Prof. Carlos Cunha</t>
  </si>
  <si>
    <t>LUC 452 – Piso L2 – São Luís Shopping</t>
  </si>
  <si>
    <t>65076-820</t>
  </si>
  <si>
    <t>Jacaraty</t>
  </si>
  <si>
    <t>Sumaúma Park Shopping</t>
  </si>
  <si>
    <t>(92) 3303-9550</t>
  </si>
  <si>
    <t>Av. Noel Nutels</t>
  </si>
  <si>
    <t>terreo</t>
  </si>
  <si>
    <t>69095-000</t>
  </si>
  <si>
    <t>Nova Iguaçú Shopping</t>
  </si>
  <si>
    <t>(21) 2303-8820</t>
  </si>
  <si>
    <t>Av. Abílio Augusto Távora</t>
  </si>
  <si>
    <t>Loja 365 – 3º Piso - Shopping Nova Iguaçu</t>
  </si>
  <si>
    <t>26265-090</t>
  </si>
  <si>
    <t>Telefone Fixo</t>
  </si>
  <si>
    <t>Valor Cobrado</t>
  </si>
  <si>
    <t>-</t>
  </si>
  <si>
    <t>(13)3476-1288</t>
  </si>
  <si>
    <t xml:space="preserve">TELEFONICA </t>
  </si>
  <si>
    <t>(85)3392-3680</t>
  </si>
  <si>
    <t>EMBRATEL</t>
  </si>
  <si>
    <t>OI TELEMAR</t>
  </si>
  <si>
    <t>9055_Fixa</t>
  </si>
  <si>
    <t>YIPI</t>
  </si>
  <si>
    <t>1938296700</t>
  </si>
  <si>
    <t>1146347000</t>
  </si>
  <si>
    <t>1124501000</t>
  </si>
  <si>
    <t>1533331950</t>
  </si>
  <si>
    <t>(21)2303-8820</t>
  </si>
  <si>
    <t>TESA</t>
  </si>
  <si>
    <t>Filial</t>
  </si>
  <si>
    <t>Estado</t>
  </si>
  <si>
    <t>Hunt Group</t>
  </si>
  <si>
    <t>Qtde aps ativos</t>
  </si>
  <si>
    <t>Req/Num loja</t>
  </si>
  <si>
    <t>Data Instalação</t>
  </si>
  <si>
    <t>Ramais Criados</t>
  </si>
  <si>
    <t>OBS</t>
  </si>
  <si>
    <t>11 2109-3151</t>
  </si>
  <si>
    <t xml:space="preserve">São Caetano do Sul </t>
  </si>
  <si>
    <t xml:space="preserve"> 11 2109-3152</t>
  </si>
  <si>
    <t xml:space="preserve">Campina Grande </t>
  </si>
  <si>
    <t xml:space="preserve"> 11 2109-3153</t>
  </si>
  <si>
    <t xml:space="preserve">Teresina (Centro) </t>
  </si>
  <si>
    <t>pi</t>
  </si>
  <si>
    <t xml:space="preserve"> 11 2109-3154</t>
  </si>
  <si>
    <t xml:space="preserve">São Luiz </t>
  </si>
  <si>
    <t xml:space="preserve"> 11 2109-3155</t>
  </si>
  <si>
    <t xml:space="preserve">Aracajú </t>
  </si>
  <si>
    <t>11 2109-3045</t>
  </si>
  <si>
    <t>61251 a 61254</t>
  </si>
  <si>
    <t xml:space="preserve">Florianópolis </t>
  </si>
  <si>
    <t>sc</t>
  </si>
  <si>
    <t xml:space="preserve"> 11 2109-3156</t>
  </si>
  <si>
    <t xml:space="preserve">Shop. Interlagos </t>
  </si>
  <si>
    <t>11 2138-8159</t>
  </si>
  <si>
    <t>61331 a 61334</t>
  </si>
  <si>
    <t xml:space="preserve">Shop. Mueller Joinville </t>
  </si>
  <si>
    <t>11 2109-3157</t>
  </si>
  <si>
    <t xml:space="preserve">Shop. Metrópole </t>
  </si>
  <si>
    <t>11 2138-8534</t>
  </si>
  <si>
    <t>61361 a 61364</t>
  </si>
  <si>
    <t xml:space="preserve">River Shopping </t>
  </si>
  <si>
    <t>pe</t>
  </si>
  <si>
    <t xml:space="preserve"> 11 2109-3158</t>
  </si>
  <si>
    <t xml:space="preserve">Norte Shopping </t>
  </si>
  <si>
    <t>11 2109-3159</t>
  </si>
  <si>
    <t xml:space="preserve">Pátio Brasil Shop. </t>
  </si>
  <si>
    <t xml:space="preserve"> 11 2109-3161</t>
  </si>
  <si>
    <t>DDR desativado em 06/06/2025</t>
  </si>
  <si>
    <t xml:space="preserve">Riverside Walk Shop. </t>
  </si>
  <si>
    <t xml:space="preserve"> 11 2109-3162</t>
  </si>
  <si>
    <t xml:space="preserve">Grand Plaza Shop. </t>
  </si>
  <si>
    <t>11 2109-3194</t>
  </si>
  <si>
    <t>61651 a 61654</t>
  </si>
  <si>
    <t xml:space="preserve">Internacional Shop. Guarulhos </t>
  </si>
  <si>
    <t>11 2109-6112</t>
  </si>
  <si>
    <t>61761 a 61764</t>
  </si>
  <si>
    <t xml:space="preserve">Buriti Shop. </t>
  </si>
  <si>
    <t xml:space="preserve"> 11 2109-3164</t>
  </si>
  <si>
    <t xml:space="preserve">Litoral Plaza Shop. </t>
  </si>
  <si>
    <t xml:space="preserve"> 11 2109-3165</t>
  </si>
  <si>
    <t xml:space="preserve">Manaíra Shop. </t>
  </si>
  <si>
    <t>11 2138-8564</t>
  </si>
  <si>
    <t>61961 a 61963</t>
  </si>
  <si>
    <t xml:space="preserve">Alameda Shop. </t>
  </si>
  <si>
    <t xml:space="preserve"> 11 2109-3166</t>
  </si>
  <si>
    <t>Shop. Aricanduva</t>
  </si>
  <si>
    <t>11 2109-3178</t>
  </si>
  <si>
    <t>65101 a 65105</t>
  </si>
  <si>
    <t xml:space="preserve">Cuiabá </t>
  </si>
  <si>
    <t xml:space="preserve"> 11 2109-3167</t>
  </si>
  <si>
    <t xml:space="preserve">Macapá </t>
  </si>
  <si>
    <t xml:space="preserve"> 11 2109-3168</t>
  </si>
  <si>
    <t>DDR desativado em 02/06/2025</t>
  </si>
  <si>
    <t xml:space="preserve">Santo Amaro </t>
  </si>
  <si>
    <t>11 2109-6466</t>
  </si>
  <si>
    <t>65151 a 65154</t>
  </si>
  <si>
    <t xml:space="preserve">Rio Branco </t>
  </si>
  <si>
    <t>ac</t>
  </si>
  <si>
    <t xml:space="preserve"> 11 2109-3169</t>
  </si>
  <si>
    <t xml:space="preserve">Diadema </t>
  </si>
  <si>
    <t>11 2109-3171</t>
  </si>
  <si>
    <t>65181 a 65186</t>
  </si>
  <si>
    <t xml:space="preserve">Porto Velho </t>
  </si>
  <si>
    <t>ro</t>
  </si>
  <si>
    <t>11 2109-3175</t>
  </si>
  <si>
    <t>65191 a 65192</t>
  </si>
  <si>
    <t xml:space="preserve">Mauá Plaza Shop. </t>
  </si>
  <si>
    <t>11 2109-6054</t>
  </si>
  <si>
    <t>65201 a 65204</t>
  </si>
  <si>
    <t xml:space="preserve">RioMar Aracajú </t>
  </si>
  <si>
    <t>se</t>
  </si>
  <si>
    <t xml:space="preserve"> 11 2109-3180</t>
  </si>
  <si>
    <t xml:space="preserve">Canoas Shop. </t>
  </si>
  <si>
    <t>rs</t>
  </si>
  <si>
    <t xml:space="preserve"> 11 2109-3182</t>
  </si>
  <si>
    <t xml:space="preserve">North Shop. Fortaleza </t>
  </si>
  <si>
    <t>ce</t>
  </si>
  <si>
    <t xml:space="preserve"> 11 2109-3183</t>
  </si>
  <si>
    <t>11 2138-8537</t>
  </si>
  <si>
    <t>65291 a 65294</t>
  </si>
  <si>
    <t xml:space="preserve">Via Shop. </t>
  </si>
  <si>
    <t xml:space="preserve"> 11 2109-3184</t>
  </si>
  <si>
    <t xml:space="preserve">Maxi Shop. Jundiaí </t>
  </si>
  <si>
    <t xml:space="preserve"> 11 2109-3185</t>
  </si>
  <si>
    <t>65341 a 65343</t>
  </si>
  <si>
    <t xml:space="preserve">São José dos Pinhais </t>
  </si>
  <si>
    <t xml:space="preserve"> 11 2109-3186</t>
  </si>
  <si>
    <t xml:space="preserve">BH Centro </t>
  </si>
  <si>
    <t xml:space="preserve"> 11 2109-3187</t>
  </si>
  <si>
    <t>Shop. Penha</t>
  </si>
  <si>
    <t>11 2109-6021</t>
  </si>
  <si>
    <t>65441 a 65444</t>
  </si>
  <si>
    <t>11 2109-3172</t>
  </si>
  <si>
    <t>65461 a 65466</t>
  </si>
  <si>
    <t xml:space="preserve">Gonzaga </t>
  </si>
  <si>
    <t xml:space="preserve"> 11 2109-3189</t>
  </si>
  <si>
    <t xml:space="preserve">Curitiba </t>
  </si>
  <si>
    <t>11 2138 8530</t>
  </si>
  <si>
    <t>65481 a 65487</t>
  </si>
  <si>
    <t xml:space="preserve">Novo Shop. Center Ribeirão Preto </t>
  </si>
  <si>
    <t xml:space="preserve"> 11 2109-3190</t>
  </si>
  <si>
    <t>11 2109-6017</t>
  </si>
  <si>
    <t>65501 a 65504</t>
  </si>
  <si>
    <t xml:space="preserve">Midway Mall </t>
  </si>
  <si>
    <t>rn</t>
  </si>
  <si>
    <t>11 2109-3193</t>
  </si>
  <si>
    <t>65531 a 65532</t>
  </si>
  <si>
    <t xml:space="preserve">Manaus </t>
  </si>
  <si>
    <t>am</t>
  </si>
  <si>
    <t xml:space="preserve"> 11 2109-3195</t>
  </si>
  <si>
    <t xml:space="preserve">Osasco Plaza Shop. </t>
  </si>
  <si>
    <t>11 2109-3173</t>
  </si>
  <si>
    <t>65591 a 65594</t>
  </si>
  <si>
    <t xml:space="preserve">Castanheira Shop. Center </t>
  </si>
  <si>
    <t>pa</t>
  </si>
  <si>
    <t xml:space="preserve"> 11 2109-3196</t>
  </si>
  <si>
    <t>11 2138-8506</t>
  </si>
  <si>
    <t>65631 a 65634</t>
  </si>
  <si>
    <t>São Miguel Pta</t>
  </si>
  <si>
    <t>11 2138-8517</t>
  </si>
  <si>
    <t>65641 a 65644</t>
  </si>
  <si>
    <t xml:space="preserve">Shop. Guararapes </t>
  </si>
  <si>
    <t>11 2109-3197</t>
  </si>
  <si>
    <t xml:space="preserve">Maceió Shop. </t>
  </si>
  <si>
    <t>al</t>
  </si>
  <si>
    <t xml:space="preserve"> 11 2109-3198</t>
  </si>
  <si>
    <t xml:space="preserve">Fortaleza </t>
  </si>
  <si>
    <t>11 2109-3199</t>
  </si>
  <si>
    <t xml:space="preserve">Shop. do Vale </t>
  </si>
  <si>
    <t xml:space="preserve"> 11 2109-3002</t>
  </si>
  <si>
    <t>11 2138 8510</t>
  </si>
  <si>
    <t>65731 a 65733</t>
  </si>
  <si>
    <t xml:space="preserve">Alcântara </t>
  </si>
  <si>
    <t>rj</t>
  </si>
  <si>
    <t xml:space="preserve">  11 2109-3003</t>
  </si>
  <si>
    <t>65751 a 65753</t>
  </si>
  <si>
    <t xml:space="preserve">Parque Dom Pedro Shop. </t>
  </si>
  <si>
    <t>sp</t>
  </si>
  <si>
    <t xml:space="preserve"> 11 2109-3004</t>
  </si>
  <si>
    <t xml:space="preserve">Mogi Shop. </t>
  </si>
  <si>
    <t xml:space="preserve"> 11 2109-3005</t>
  </si>
  <si>
    <t>65771 a 65773</t>
  </si>
  <si>
    <t xml:space="preserve">Farol Shop. </t>
  </si>
  <si>
    <t xml:space="preserve"> 11 2109-3006</t>
  </si>
  <si>
    <t>Shop. Campo Limpo</t>
  </si>
  <si>
    <t>11 2138-8508</t>
  </si>
  <si>
    <t>65791 a 65794</t>
  </si>
  <si>
    <t xml:space="preserve">Shop. Piracicaba </t>
  </si>
  <si>
    <t>11 2109-3007</t>
  </si>
  <si>
    <t xml:space="preserve">Porto Alegre (Centro) </t>
  </si>
  <si>
    <t xml:space="preserve"> 11 2109-3008</t>
  </si>
  <si>
    <t xml:space="preserve">Shop. Del Rey </t>
  </si>
  <si>
    <t>mg</t>
  </si>
  <si>
    <t xml:space="preserve"> 11 2109-3009</t>
  </si>
  <si>
    <t>Shop. Metrô Tatuapé</t>
  </si>
  <si>
    <t>11 2109-3174</t>
  </si>
  <si>
    <t>65861 a 65866</t>
  </si>
  <si>
    <t xml:space="preserve">Maceió </t>
  </si>
  <si>
    <t xml:space="preserve"> 11 2109-3010</t>
  </si>
  <si>
    <t xml:space="preserve">Big Shop. </t>
  </si>
  <si>
    <t xml:space="preserve"> 11 2109-3011</t>
  </si>
  <si>
    <t xml:space="preserve">Floripa Shop. </t>
  </si>
  <si>
    <t xml:space="preserve"> 11 2109-3012</t>
  </si>
  <si>
    <t xml:space="preserve">Nova Iguaçu </t>
  </si>
  <si>
    <t xml:space="preserve"> 11 2109-3013</t>
  </si>
  <si>
    <t xml:space="preserve">Shop. Avenida Center </t>
  </si>
  <si>
    <t xml:space="preserve"> 11 2109-3001</t>
  </si>
  <si>
    <t>65981 a 65982</t>
  </si>
  <si>
    <t xml:space="preserve">Ponta Grossa </t>
  </si>
  <si>
    <t>pr</t>
  </si>
  <si>
    <t xml:space="preserve"> 11 2109-3018</t>
  </si>
  <si>
    <t xml:space="preserve">Salvador Shop. </t>
  </si>
  <si>
    <t>ba</t>
  </si>
  <si>
    <t xml:space="preserve"> 11 2109-3019</t>
  </si>
  <si>
    <t>Shop. Recife</t>
  </si>
  <si>
    <t>11 2109-3191</t>
  </si>
  <si>
    <t>66011 a 66015</t>
  </si>
  <si>
    <t xml:space="preserve">Vitória da Conquista </t>
  </si>
  <si>
    <t xml:space="preserve"> 11 2109-3022</t>
  </si>
  <si>
    <t>11 2109-3023</t>
  </si>
  <si>
    <t xml:space="preserve">Shop. do Vale do Aço </t>
  </si>
  <si>
    <t>11 2109-3025</t>
  </si>
  <si>
    <t xml:space="preserve">Pátio Limeira Shop. </t>
  </si>
  <si>
    <t xml:space="preserve"> 11 2109-3028</t>
  </si>
  <si>
    <t xml:space="preserve">Taubaté Shop. </t>
  </si>
  <si>
    <t xml:space="preserve"> 11 2109-3033</t>
  </si>
  <si>
    <t xml:space="preserve">Partage Shop. Campina Grande </t>
  </si>
  <si>
    <t>pb</t>
  </si>
  <si>
    <t xml:space="preserve"> 11 2109-3034</t>
  </si>
  <si>
    <t>11 2109-3170</t>
  </si>
  <si>
    <t>66131 a 66134</t>
  </si>
  <si>
    <t xml:space="preserve">Goiânia </t>
  </si>
  <si>
    <t>go</t>
  </si>
  <si>
    <t xml:space="preserve"> 11 2109-3036</t>
  </si>
  <si>
    <t>Shop. Jequitiba</t>
  </si>
  <si>
    <t>11 2109-6291</t>
  </si>
  <si>
    <t>66181 a 66184</t>
  </si>
  <si>
    <t>Shop Bonsucesso</t>
  </si>
  <si>
    <t>11 2109-6486</t>
  </si>
  <si>
    <t>66191 a 66194</t>
  </si>
  <si>
    <t>Shop. Metrô Tucuruvi</t>
  </si>
  <si>
    <t>11 2109-3014</t>
  </si>
  <si>
    <t>66221 a 66224</t>
  </si>
  <si>
    <t xml:space="preserve">North Shop. Caruaru </t>
  </si>
  <si>
    <t>11 2109-3038</t>
  </si>
  <si>
    <t>66231 a 66233</t>
  </si>
  <si>
    <t xml:space="preserve">Vale Sul Shop. </t>
  </si>
  <si>
    <t xml:space="preserve"> 11 2109-3039</t>
  </si>
  <si>
    <t xml:space="preserve">Campo Grande </t>
  </si>
  <si>
    <t>ms</t>
  </si>
  <si>
    <t>11 2109-3040</t>
  </si>
  <si>
    <t>66251 a 66252</t>
  </si>
  <si>
    <t>Shop. Metrô Itaquera</t>
  </si>
  <si>
    <t>11 2138-8511</t>
  </si>
  <si>
    <t>66261 a 66266</t>
  </si>
  <si>
    <t xml:space="preserve">Partage Norte Shop. Natal </t>
  </si>
  <si>
    <t xml:space="preserve"> 11 2109-3041</t>
  </si>
  <si>
    <t xml:space="preserve">Plaza Avenida Shop. </t>
  </si>
  <si>
    <t xml:space="preserve"> 11 2109-3042</t>
  </si>
  <si>
    <t>Shop. União de Osasco</t>
  </si>
  <si>
    <t>11 2138-8502</t>
  </si>
  <si>
    <t>66311 a 66314</t>
  </si>
  <si>
    <t xml:space="preserve">Shop. Jardim das Américas </t>
  </si>
  <si>
    <t xml:space="preserve"> 11 2109-3043</t>
  </si>
  <si>
    <t xml:space="preserve">Bourbon Shop. </t>
  </si>
  <si>
    <t>11 2109-3044</t>
  </si>
  <si>
    <t xml:space="preserve">Minas Shop. </t>
  </si>
  <si>
    <t xml:space="preserve"> 11 2109-3046</t>
  </si>
  <si>
    <t xml:space="preserve">Marília Shop. </t>
  </si>
  <si>
    <t xml:space="preserve"> 11 2109-3047</t>
  </si>
  <si>
    <t xml:space="preserve">Cubatão </t>
  </si>
  <si>
    <t xml:space="preserve"> 11 2109-3048</t>
  </si>
  <si>
    <t>11 2109-6025</t>
  </si>
  <si>
    <t>66401 a 66404</t>
  </si>
  <si>
    <t xml:space="preserve">Ferraz de Vasconcelos </t>
  </si>
  <si>
    <t>11 2109-3095</t>
  </si>
  <si>
    <t xml:space="preserve">Buriti Shop. Guará </t>
  </si>
  <si>
    <t>11 2109-3096</t>
  </si>
  <si>
    <t xml:space="preserve">Shop Tambiá </t>
  </si>
  <si>
    <t xml:space="preserve"> 11 2109-3098</t>
  </si>
  <si>
    <t>66431 a 66432</t>
  </si>
  <si>
    <t xml:space="preserve">Jacare¡ </t>
  </si>
  <si>
    <t xml:space="preserve"> 11 2109-3099</t>
  </si>
  <si>
    <t>66451 a 66452</t>
  </si>
  <si>
    <t xml:space="preserve">Iguatemi Salvador </t>
  </si>
  <si>
    <t xml:space="preserve"> 11 2109-3100</t>
  </si>
  <si>
    <t xml:space="preserve">Vicente de Carvalho </t>
  </si>
  <si>
    <t xml:space="preserve"> 11 2109-3101</t>
  </si>
  <si>
    <t>Shop. Taboão</t>
  </si>
  <si>
    <t>11 2109-3015</t>
  </si>
  <si>
    <t>66481 a 66484</t>
  </si>
  <si>
    <t xml:space="preserve">Palladium Shop. Center </t>
  </si>
  <si>
    <t>11 2109-3102</t>
  </si>
  <si>
    <t xml:space="preserve">Boulevard Shop. Belém </t>
  </si>
  <si>
    <t>11 2109-3103</t>
  </si>
  <si>
    <t xml:space="preserve">Shop. Conjunto Nacional </t>
  </si>
  <si>
    <t>df</t>
  </si>
  <si>
    <t xml:space="preserve"> 11 2109-3104</t>
  </si>
  <si>
    <t xml:space="preserve">Montes Claros Shop. Center </t>
  </si>
  <si>
    <t>11 2138-8601</t>
  </si>
  <si>
    <t xml:space="preserve">Via Sul Shop. Fortaleza </t>
  </si>
  <si>
    <t xml:space="preserve"> 11 2138-8602</t>
  </si>
  <si>
    <t xml:space="preserve">Shop. Plaza Macaé </t>
  </si>
  <si>
    <t xml:space="preserve"> 11 2138-8603</t>
  </si>
  <si>
    <t xml:space="preserve">Andorinha Hiper Center </t>
  </si>
  <si>
    <t>11 2109-3192</t>
  </si>
  <si>
    <t>66561 a 65654</t>
  </si>
  <si>
    <t>11 2138 8593</t>
  </si>
  <si>
    <t>66571 a 66574</t>
  </si>
  <si>
    <t xml:space="preserve">Belém (Centro) </t>
  </si>
  <si>
    <t xml:space="preserve"> 11 2138-8604</t>
  </si>
  <si>
    <t xml:space="preserve">Porto Velho Shop. </t>
  </si>
  <si>
    <t xml:space="preserve"> 11 2138-8605</t>
  </si>
  <si>
    <t xml:space="preserve">Shop. Pátio Maceió </t>
  </si>
  <si>
    <t>11 2138-8606</t>
  </si>
  <si>
    <t>11 2138-8514</t>
  </si>
  <si>
    <t>66621 a 66624</t>
  </si>
  <si>
    <t xml:space="preserve">Manauara Shop. </t>
  </si>
  <si>
    <t>11 2109-3016</t>
  </si>
  <si>
    <t xml:space="preserve">Chapecó </t>
  </si>
  <si>
    <t xml:space="preserve"> 11 2138-8607</t>
  </si>
  <si>
    <t xml:space="preserve">Itaquaquecetuba </t>
  </si>
  <si>
    <t xml:space="preserve"> 11 2138-8608</t>
  </si>
  <si>
    <t>66651 a 66652</t>
  </si>
  <si>
    <t xml:space="preserve">Pátio Central Shop. </t>
  </si>
  <si>
    <t xml:space="preserve"> 11 2138-8609</t>
  </si>
  <si>
    <t>66671 a 66672</t>
  </si>
  <si>
    <t>11 2109-6051</t>
  </si>
  <si>
    <t>66711 a 66713</t>
  </si>
  <si>
    <t xml:space="preserve"> 11 2138-8611</t>
  </si>
  <si>
    <t xml:space="preserve">Bauru Shop. </t>
  </si>
  <si>
    <t>11 2138-8612</t>
  </si>
  <si>
    <t xml:space="preserve">Pelotas </t>
  </si>
  <si>
    <t>11 2109-6046</t>
  </si>
  <si>
    <t>66751 a 66754</t>
  </si>
  <si>
    <t xml:space="preserve">Bella Cittá Shop. Center </t>
  </si>
  <si>
    <t>11 2138-8613</t>
  </si>
  <si>
    <t xml:space="preserve">Rio Anil Shop. </t>
  </si>
  <si>
    <t>ma</t>
  </si>
  <si>
    <t>11 2138-8615</t>
  </si>
  <si>
    <t xml:space="preserve">Shop. Sul </t>
  </si>
  <si>
    <t>11 2138-8616</t>
  </si>
  <si>
    <t xml:space="preserve">Imperatriz </t>
  </si>
  <si>
    <t xml:space="preserve"> 11 2138-8617</t>
  </si>
  <si>
    <t>66791 a 66792</t>
  </si>
  <si>
    <t xml:space="preserve">Portal Shop. </t>
  </si>
  <si>
    <t>11 2138-8618</t>
  </si>
  <si>
    <t>66801 a 66803</t>
  </si>
  <si>
    <t xml:space="preserve">Capim Dourado Shop. </t>
  </si>
  <si>
    <t>to</t>
  </si>
  <si>
    <t xml:space="preserve"> 11 2138-8619</t>
  </si>
  <si>
    <t xml:space="preserve">Tivoli Shop. </t>
  </si>
  <si>
    <t xml:space="preserve"> 11 2138-8620</t>
  </si>
  <si>
    <t xml:space="preserve">Taguatinga Shop. </t>
  </si>
  <si>
    <t xml:space="preserve">2
</t>
  </si>
  <si>
    <t xml:space="preserve"> 11 2138-8621</t>
  </si>
  <si>
    <t>66841 a 66842</t>
  </si>
  <si>
    <t xml:space="preserve">Shop. Sete Lagoas </t>
  </si>
  <si>
    <t xml:space="preserve"> 11 2138-8622</t>
  </si>
  <si>
    <t xml:space="preserve">Shop. Bourbon Wallig </t>
  </si>
  <si>
    <t xml:space="preserve"> 11 2138-8623</t>
  </si>
  <si>
    <t xml:space="preserve">Center Shop. Uberlândia </t>
  </si>
  <si>
    <t xml:space="preserve"> 11 2138-8624</t>
  </si>
  <si>
    <t xml:space="preserve">Norte Sul Plaza </t>
  </si>
  <si>
    <t>11 2138-8625</t>
  </si>
  <si>
    <t>66881 a 66882</t>
  </si>
  <si>
    <t xml:space="preserve">Raposo Shop. </t>
  </si>
  <si>
    <t>11 2109-6477</t>
  </si>
  <si>
    <t>66891 a 66894</t>
  </si>
  <si>
    <t xml:space="preserve">Shop. Viacatarina </t>
  </si>
  <si>
    <t xml:space="preserve"> 11 2138-8626</t>
  </si>
  <si>
    <t xml:space="preserve">Itapetininga Shop. Center </t>
  </si>
  <si>
    <t>11 2138-8540</t>
  </si>
  <si>
    <t>66981 a 66984</t>
  </si>
  <si>
    <t>Royal Plaza Shop.</t>
  </si>
  <si>
    <t>11 2109-6015</t>
  </si>
  <si>
    <t>66991 a 66994</t>
  </si>
  <si>
    <t>11 2109-3176</t>
  </si>
  <si>
    <t>67001 a 67004</t>
  </si>
  <si>
    <t xml:space="preserve">Parque Shop. Belém </t>
  </si>
  <si>
    <t xml:space="preserve"> 11 2138-8627</t>
  </si>
  <si>
    <t xml:space="preserve">Shop. Jaraguá Indaiatuba </t>
  </si>
  <si>
    <t>11 2138-8628</t>
  </si>
  <si>
    <t xml:space="preserve">Canoas </t>
  </si>
  <si>
    <t xml:space="preserve"> 11 2138-8629</t>
  </si>
  <si>
    <t xml:space="preserve">Itajaí </t>
  </si>
  <si>
    <t xml:space="preserve"> 11 2138-8630</t>
  </si>
  <si>
    <t xml:space="preserve">Garden Shop. Catanduva </t>
  </si>
  <si>
    <t>11 2138-8631</t>
  </si>
  <si>
    <t xml:space="preserve">Mossoró </t>
  </si>
  <si>
    <t xml:space="preserve"> 11 2138-8632</t>
  </si>
  <si>
    <t xml:space="preserve">North Shop. Barretos </t>
  </si>
  <si>
    <t xml:space="preserve"> 11 2138-8634</t>
  </si>
  <si>
    <t xml:space="preserve">Barro Preto </t>
  </si>
  <si>
    <t xml:space="preserve"> 11 2138-8635</t>
  </si>
  <si>
    <t xml:space="preserve">Cidade Dutra </t>
  </si>
  <si>
    <t>11 2138-8519</t>
  </si>
  <si>
    <t>67261 a 67264</t>
  </si>
  <si>
    <t xml:space="preserve">Salvador Norte Shop. </t>
  </si>
  <si>
    <t xml:space="preserve"> 11 2138-8636</t>
  </si>
  <si>
    <t xml:space="preserve">Shop. Poços de Caldas </t>
  </si>
  <si>
    <t>11 2138-8638</t>
  </si>
  <si>
    <t xml:space="preserve">Andradas </t>
  </si>
  <si>
    <t>11 2109-8639</t>
  </si>
  <si>
    <t>Shop. SP Market</t>
  </si>
  <si>
    <t>11 2109-6479</t>
  </si>
  <si>
    <t>67311 a 67314</t>
  </si>
  <si>
    <t xml:space="preserve">Recife </t>
  </si>
  <si>
    <t>11 2138-8641</t>
  </si>
  <si>
    <t>67321 a 67322</t>
  </si>
  <si>
    <t xml:space="preserve">Juíz de Fora </t>
  </si>
  <si>
    <t xml:space="preserve"> 11 2138-8642</t>
  </si>
  <si>
    <t>11 2109-3177</t>
  </si>
  <si>
    <t>67341 a 67344</t>
  </si>
  <si>
    <t xml:space="preserve">Shop. Valinhos </t>
  </si>
  <si>
    <t>11 2138-8643</t>
  </si>
  <si>
    <t xml:space="preserve">Amazonas Shop. </t>
  </si>
  <si>
    <t xml:space="preserve"> 11 2138-8644</t>
  </si>
  <si>
    <t xml:space="preserve">Cariacica </t>
  </si>
  <si>
    <t>es</t>
  </si>
  <si>
    <t xml:space="preserve"> 11 2138-8645</t>
  </si>
  <si>
    <t>11 2138-8536</t>
  </si>
  <si>
    <t>67441 a 67444</t>
  </si>
  <si>
    <t xml:space="preserve">Macaé </t>
  </si>
  <si>
    <t xml:space="preserve"> 11 2138-8646</t>
  </si>
  <si>
    <t xml:space="preserve">Boqueirão </t>
  </si>
  <si>
    <t>11 2138-8647</t>
  </si>
  <si>
    <t xml:space="preserve">Ceilândia </t>
  </si>
  <si>
    <t xml:space="preserve"> 11 2138-8648</t>
  </si>
  <si>
    <t xml:space="preserve">Gama </t>
  </si>
  <si>
    <t>11 2138-8649</t>
  </si>
  <si>
    <t xml:space="preserve">Shop. Mestre Álvaro </t>
  </si>
  <si>
    <t xml:space="preserve"> 11 2109-6002</t>
  </si>
  <si>
    <t xml:space="preserve">Duque de Caxias </t>
  </si>
  <si>
    <t xml:space="preserve"> 11 2109-6003</t>
  </si>
  <si>
    <t>67561 a 67562</t>
  </si>
  <si>
    <t xml:space="preserve">Portal Sul Shop. </t>
  </si>
  <si>
    <t xml:space="preserve"> 11 2109-6004</t>
  </si>
  <si>
    <t xml:space="preserve">Uai Shop. </t>
  </si>
  <si>
    <t xml:space="preserve"> 11 2109-6005</t>
  </si>
  <si>
    <t>Parque Shop. Barueri</t>
  </si>
  <si>
    <t>11 2138-8535</t>
  </si>
  <si>
    <t>67681 a 67684</t>
  </si>
  <si>
    <t xml:space="preserve">Poá </t>
  </si>
  <si>
    <t xml:space="preserve"> 11 2109-6006</t>
  </si>
  <si>
    <t xml:space="preserve">Shop. Pátio Divinopolis </t>
  </si>
  <si>
    <t>11 2138-8657</t>
  </si>
  <si>
    <t>67711 a 67713</t>
  </si>
  <si>
    <t xml:space="preserve">Shop. Bela Vista </t>
  </si>
  <si>
    <t xml:space="preserve"> 11 2109-6007</t>
  </si>
  <si>
    <t xml:space="preserve">Londrina Norte Shop. </t>
  </si>
  <si>
    <t xml:space="preserve"> 11 2109-6008</t>
  </si>
  <si>
    <t xml:space="preserve">Barueri </t>
  </si>
  <si>
    <t>11 2138-8521</t>
  </si>
  <si>
    <t>67801 a 67804</t>
  </si>
  <si>
    <t xml:space="preserve">Shop. da Ilha </t>
  </si>
  <si>
    <t xml:space="preserve"> 11 2109-6009</t>
  </si>
  <si>
    <t xml:space="preserve">Shop. Hortolândia </t>
  </si>
  <si>
    <t xml:space="preserve"> 11 2109-6010</t>
  </si>
  <si>
    <t xml:space="preserve">Serramar Parque Shop. </t>
  </si>
  <si>
    <t>11 2109-6012</t>
  </si>
  <si>
    <t xml:space="preserve">Bragança Paulista </t>
  </si>
  <si>
    <t>11 2109-6013</t>
  </si>
  <si>
    <t xml:space="preserve">Boa Vista </t>
  </si>
  <si>
    <t>rr</t>
  </si>
  <si>
    <t>11 2109-6047</t>
  </si>
  <si>
    <t xml:space="preserve">Via Verde Shop. </t>
  </si>
  <si>
    <t>11 2109-6048</t>
  </si>
  <si>
    <t xml:space="preserve">Porto Alegre Centerlar </t>
  </si>
  <si>
    <t>11 2109-6049</t>
  </si>
  <si>
    <t xml:space="preserve">Venda Nova </t>
  </si>
  <si>
    <t>11 2109-6050</t>
  </si>
  <si>
    <t xml:space="preserve">Itapevi </t>
  </si>
  <si>
    <t>11 2138-8525</t>
  </si>
  <si>
    <t>68451 a 68454</t>
  </si>
  <si>
    <t xml:space="preserve">Santarém </t>
  </si>
  <si>
    <t xml:space="preserve"> 11 2109-6052</t>
  </si>
  <si>
    <t xml:space="preserve">Av. Taboão </t>
  </si>
  <si>
    <t>11 2138-8531</t>
  </si>
  <si>
    <t>68481 a 68484</t>
  </si>
  <si>
    <t xml:space="preserve">Shop. Cidade Norte </t>
  </si>
  <si>
    <t xml:space="preserve"> 11 2109-6053</t>
  </si>
  <si>
    <t xml:space="preserve">Vila Nova Cachoeirinha </t>
  </si>
  <si>
    <t>11 2109-3181</t>
  </si>
  <si>
    <t>68511 a 68514</t>
  </si>
  <si>
    <t xml:space="preserve">Vila Maria </t>
  </si>
  <si>
    <t>11 2109-3179</t>
  </si>
  <si>
    <t>68521 a 68524</t>
  </si>
  <si>
    <t xml:space="preserve">Franco da Rocha </t>
  </si>
  <si>
    <t xml:space="preserve"> 11 2109-6055</t>
  </si>
  <si>
    <t>68531 a 68532</t>
  </si>
  <si>
    <t xml:space="preserve">Shop. Pátio Belém </t>
  </si>
  <si>
    <t>11 2109-3150</t>
  </si>
  <si>
    <t>68571 a 68572</t>
  </si>
  <si>
    <t xml:space="preserve">Vila Prudente </t>
  </si>
  <si>
    <t>11 2138-8512</t>
  </si>
  <si>
    <t>68581 a 68584</t>
  </si>
  <si>
    <t xml:space="preserve">Vila Formosa </t>
  </si>
  <si>
    <t>11 2138-8533</t>
  </si>
  <si>
    <t>68591 a 68594</t>
  </si>
  <si>
    <t xml:space="preserve">Campos Goytacazes </t>
  </si>
  <si>
    <t>11 2109-6056</t>
  </si>
  <si>
    <t xml:space="preserve">Shop. Estação BH </t>
  </si>
  <si>
    <t xml:space="preserve"> 11 2109-6057</t>
  </si>
  <si>
    <t xml:space="preserve">Jabaquara </t>
  </si>
  <si>
    <t>11 2138-8515</t>
  </si>
  <si>
    <t>68681 a 68684</t>
  </si>
  <si>
    <t xml:space="preserve">Amapá Garden Shop. </t>
  </si>
  <si>
    <t>ap</t>
  </si>
  <si>
    <t>11 2109-6058</t>
  </si>
  <si>
    <t xml:space="preserve">Caxias do Sul </t>
  </si>
  <si>
    <t>11 2109-6059</t>
  </si>
  <si>
    <t xml:space="preserve">Bagé </t>
  </si>
  <si>
    <t>11 2109-6061</t>
  </si>
  <si>
    <t xml:space="preserve">Teófilo Otoni </t>
  </si>
  <si>
    <t xml:space="preserve"> 11 2109-6062</t>
  </si>
  <si>
    <t xml:space="preserve">Metropolitan Shop. Betim </t>
  </si>
  <si>
    <t xml:space="preserve"> 11 2109-6063</t>
  </si>
  <si>
    <t xml:space="preserve">Shop. RioMar Recife </t>
  </si>
  <si>
    <t xml:space="preserve"> 11 2109-6064</t>
  </si>
  <si>
    <t xml:space="preserve">Praia de Belas Shop. </t>
  </si>
  <si>
    <t xml:space="preserve"> 11 2109-6066</t>
  </si>
  <si>
    <t xml:space="preserve">Ermelino Matarazzo </t>
  </si>
  <si>
    <t>11 2109-6481</t>
  </si>
  <si>
    <t>68891 a 68894</t>
  </si>
  <si>
    <t xml:space="preserve">Uruguaiana </t>
  </si>
  <si>
    <t xml:space="preserve"> 11 2109-6067</t>
  </si>
  <si>
    <t xml:space="preserve">Shop. Prêmio </t>
  </si>
  <si>
    <t xml:space="preserve"> 11 2109-6068</t>
  </si>
  <si>
    <t>68911 a 68912</t>
  </si>
  <si>
    <t xml:space="preserve">Lauro de Freitas </t>
  </si>
  <si>
    <t xml:space="preserve"> 11 2109-6069</t>
  </si>
  <si>
    <t xml:space="preserve">Cajazeiras </t>
  </si>
  <si>
    <t>11 2109-6070</t>
  </si>
  <si>
    <t xml:space="preserve">Icoaraci </t>
  </si>
  <si>
    <t xml:space="preserve"> 11 2109-6071</t>
  </si>
  <si>
    <t xml:space="preserve">Ananindeua </t>
  </si>
  <si>
    <t xml:space="preserve"> 11 2109-6072</t>
  </si>
  <si>
    <t xml:space="preserve">Várzea Grande </t>
  </si>
  <si>
    <t>mt</t>
  </si>
  <si>
    <t xml:space="preserve"> 11 2109-6073</t>
  </si>
  <si>
    <t xml:space="preserve">Shop. Park Lagos </t>
  </si>
  <si>
    <t xml:space="preserve"> 11 2109-6074</t>
  </si>
  <si>
    <t xml:space="preserve">Rondonópolis </t>
  </si>
  <si>
    <t xml:space="preserve"> 11 2109-6075</t>
  </si>
  <si>
    <t xml:space="preserve">Guarapuava </t>
  </si>
  <si>
    <t>11 2109-6076</t>
  </si>
  <si>
    <t>69151 a 69152</t>
  </si>
  <si>
    <t xml:space="preserve">Shop. Vila Velha </t>
  </si>
  <si>
    <t xml:space="preserve"> 11 2109-6077</t>
  </si>
  <si>
    <t xml:space="preserve">Jõao Pessoa </t>
  </si>
  <si>
    <t xml:space="preserve"> 11 2109-6078</t>
  </si>
  <si>
    <t>69191 a 69192</t>
  </si>
  <si>
    <t xml:space="preserve">Vitória Park Shop. </t>
  </si>
  <si>
    <t xml:space="preserve"> 11 2109-6079</t>
  </si>
  <si>
    <t xml:space="preserve">Paulo Afonso </t>
  </si>
  <si>
    <t xml:space="preserve"> 11 2109-6080</t>
  </si>
  <si>
    <t>69221 a 69222</t>
  </si>
  <si>
    <t xml:space="preserve">Pátio Cianê Shop. </t>
  </si>
  <si>
    <t xml:space="preserve"> 11 2109-6081</t>
  </si>
  <si>
    <t xml:space="preserve">North Shop. Jóquei </t>
  </si>
  <si>
    <t xml:space="preserve"> 11 2109-6082</t>
  </si>
  <si>
    <t xml:space="preserve">PAULISTA </t>
  </si>
  <si>
    <t xml:space="preserve"> 11 2109-6083</t>
  </si>
  <si>
    <t xml:space="preserve">Shop. Contagem </t>
  </si>
  <si>
    <t xml:space="preserve"> 11 2109-6084</t>
  </si>
  <si>
    <t xml:space="preserve">Boulevard Londrina Shop. </t>
  </si>
  <si>
    <t xml:space="preserve"> 11 2109-6085</t>
  </si>
  <si>
    <t xml:space="preserve">Passeio das Águas Shop. </t>
  </si>
  <si>
    <t xml:space="preserve"> 11 2109-6086</t>
  </si>
  <si>
    <t xml:space="preserve">Itapecerica Shop. </t>
  </si>
  <si>
    <t>11 2109-6448</t>
  </si>
  <si>
    <t>69361 a 69364</t>
  </si>
  <si>
    <t xml:space="preserve">Shop. DB Nova Cidade </t>
  </si>
  <si>
    <t xml:space="preserve"> 11 2109-6087</t>
  </si>
  <si>
    <t>Shop. Tietê Plaza</t>
  </si>
  <si>
    <t>11 2109-6018</t>
  </si>
  <si>
    <t>69391 a 69394</t>
  </si>
  <si>
    <t xml:space="preserve">Nova Friburgo </t>
  </si>
  <si>
    <t xml:space="preserve"> 11 2109-6088</t>
  </si>
  <si>
    <t>11 2109-6089</t>
  </si>
  <si>
    <t>69431 a 69432</t>
  </si>
  <si>
    <t>Shop. Teresina</t>
  </si>
  <si>
    <t xml:space="preserve"> 11 2109-6090</t>
  </si>
  <si>
    <t>69441 a 69442</t>
  </si>
  <si>
    <t xml:space="preserve">São Luís Shop. </t>
  </si>
  <si>
    <t xml:space="preserve"> 11 2109-6091</t>
  </si>
  <si>
    <t xml:space="preserve"> 11 2109-6092</t>
  </si>
  <si>
    <t xml:space="preserve">Shopping Nova Iguaçu </t>
  </si>
  <si>
    <t xml:space="preserve"> 11 2109-6093</t>
  </si>
  <si>
    <t>CD 818</t>
  </si>
  <si>
    <t>CD Navegantes</t>
  </si>
  <si>
    <t>11 2138-8690</t>
  </si>
  <si>
    <t>68181 a 68184</t>
  </si>
  <si>
    <t>Site</t>
  </si>
  <si>
    <t>CR</t>
  </si>
  <si>
    <t xml:space="preserve">Operadora 1 </t>
  </si>
  <si>
    <t>Data de Ativação</t>
  </si>
  <si>
    <t>Vigencia</t>
  </si>
  <si>
    <t>Operadora 2</t>
  </si>
  <si>
    <t>Operadora 3</t>
  </si>
  <si>
    <t>Operadora 4</t>
  </si>
  <si>
    <t>Operadora 5</t>
  </si>
  <si>
    <t>Operadora 6</t>
  </si>
  <si>
    <t>IP Local</t>
  </si>
  <si>
    <t>EC</t>
  </si>
  <si>
    <t>Embratel</t>
  </si>
  <si>
    <t>Dedicado</t>
  </si>
  <si>
    <t>500Mb</t>
  </si>
  <si>
    <t>SPO/IP/40295</t>
  </si>
  <si>
    <t>Vivo</t>
  </si>
  <si>
    <t>1 GB</t>
  </si>
  <si>
    <t>Algar</t>
  </si>
  <si>
    <t>L2L (EC-Tivit)</t>
  </si>
  <si>
    <t>Tivit</t>
  </si>
  <si>
    <t>1Gb</t>
  </si>
  <si>
    <t>SPO/IP/70714</t>
  </si>
  <si>
    <t>L2L (Tivit-EC)</t>
  </si>
  <si>
    <t>EBT (Sitef)</t>
  </si>
  <si>
    <t>MPLS</t>
  </si>
  <si>
    <t>20MB</t>
  </si>
  <si>
    <t>SPO/IP/55340</t>
  </si>
  <si>
    <t>L2L(Tivit-CD)</t>
  </si>
  <si>
    <t>50 MB</t>
  </si>
  <si>
    <t>Vencido</t>
  </si>
  <si>
    <t>Vivo (Sitef)</t>
  </si>
  <si>
    <t>4Mb</t>
  </si>
  <si>
    <t>CD Itaqua</t>
  </si>
  <si>
    <t>CD820</t>
  </si>
  <si>
    <t>200Mb</t>
  </si>
  <si>
    <t>WCS</t>
  </si>
  <si>
    <t>100 MB</t>
  </si>
  <si>
    <t>CD 820 - Itaquaquecetuba - SP</t>
  </si>
  <si>
    <t>L2L (CD-Tivit)</t>
  </si>
  <si>
    <t>10.8.120.0/22</t>
  </si>
  <si>
    <t>CD Blumenau</t>
  </si>
  <si>
    <t>CD811</t>
  </si>
  <si>
    <t>20 MB</t>
  </si>
  <si>
    <t>8756818/8756819</t>
  </si>
  <si>
    <t>BNU/IP/01514</t>
  </si>
  <si>
    <t>10.8.100.0/22</t>
  </si>
  <si>
    <t>CD Goiânia</t>
  </si>
  <si>
    <t>CD807</t>
  </si>
  <si>
    <t>10MB</t>
  </si>
  <si>
    <t>8754445/8754447</t>
  </si>
  <si>
    <t>10 MB</t>
  </si>
  <si>
    <t>10.8.108.0/22</t>
  </si>
  <si>
    <t>CD818</t>
  </si>
  <si>
    <t>8754444/8754446</t>
  </si>
  <si>
    <t>Mega</t>
  </si>
  <si>
    <t>TIT000872</t>
  </si>
  <si>
    <t>10.8.107.0/22</t>
  </si>
  <si>
    <t>SITEF</t>
  </si>
  <si>
    <t>Vivo-P2 EQN-ALA</t>
  </si>
  <si>
    <t>2MB</t>
  </si>
  <si>
    <t>2Mb</t>
  </si>
  <si>
    <t>BRE/IP/25280</t>
  </si>
  <si>
    <t>Vivo-P1 EQN-MIG</t>
  </si>
  <si>
    <t>SPO/IP/55325</t>
  </si>
  <si>
    <t>TIVIT</t>
  </si>
  <si>
    <t>Plano</t>
  </si>
  <si>
    <t>Conta</t>
  </si>
  <si>
    <t>Localidade</t>
  </si>
  <si>
    <t>Telefonia</t>
  </si>
  <si>
    <t>Numero</t>
  </si>
  <si>
    <t>MÓVEL</t>
  </si>
  <si>
    <t>VIVO</t>
  </si>
  <si>
    <t>PLANO INTERNET BOX PJ</t>
  </si>
  <si>
    <t>080 - CAMPINA GRANDE</t>
  </si>
  <si>
    <t>SMART EMPRESAS 2GB D</t>
  </si>
  <si>
    <t>087 - TERESINA</t>
  </si>
  <si>
    <t>11971053948      11950616361      11995061269</t>
  </si>
  <si>
    <t>R$ 18,99       R$ 18,99       R$ 18,99</t>
  </si>
  <si>
    <t>SMART EMPRESAS 0.5GB D</t>
  </si>
  <si>
    <t>120 - SÃO LUIZ</t>
  </si>
  <si>
    <t>11944706003     11944439242</t>
  </si>
  <si>
    <t>R$ 30,50      R$ 18,99</t>
  </si>
  <si>
    <t>140 - RIVER SHOP</t>
  </si>
  <si>
    <t>16996333608      19996458099     21995002687      79998442585</t>
  </si>
  <si>
    <t>R$ 18,99       R$ 18,99       R$ 18,99      R$ 30,50</t>
  </si>
  <si>
    <t>CLARO</t>
  </si>
  <si>
    <t>PLANO TOTAL SHARE 2.0</t>
  </si>
  <si>
    <t>142 - NORTE SHOP</t>
  </si>
  <si>
    <t>11992175076     11992350946     11992979384     11993155324</t>
  </si>
  <si>
    <t xml:space="preserve"> R$ 62,23       R$ 50,59      R$ 50,59       R$ 50,59 </t>
  </si>
  <si>
    <t>150 - PATIO BRASIL SHOP</t>
  </si>
  <si>
    <t>51980635226     21967265582</t>
  </si>
  <si>
    <t xml:space="preserve">R$ 18,99       R$ 18,99 </t>
  </si>
  <si>
    <t>160 - RIVERSIDE WALK SHOP</t>
  </si>
  <si>
    <t>11944594725     11944705147</t>
  </si>
  <si>
    <t xml:space="preserve"> R$ 18,99       R$ 18,99 </t>
  </si>
  <si>
    <t xml:space="preserve">178 - BURUTI SHOP </t>
  </si>
  <si>
    <t>11943930362     11996831429</t>
  </si>
  <si>
    <t xml:space="preserve">508 - ALAMEDA SHOP </t>
  </si>
  <si>
    <t>11971405188     11996287684</t>
  </si>
  <si>
    <t xml:space="preserve">R$ 18,99           R$ 18,99 </t>
  </si>
  <si>
    <t xml:space="preserve">165 - </t>
  </si>
  <si>
    <t>176 - SHOP ITERNACIONAL</t>
  </si>
  <si>
    <t>512 - CUIABÁ</t>
  </si>
  <si>
    <t>514 - MACAPÁ</t>
  </si>
  <si>
    <t>11930280682     11999131734</t>
  </si>
  <si>
    <t xml:space="preserve">R$ 18,99      R$ 31,99 </t>
  </si>
  <si>
    <t>510 - SHOP ARICANDUVA</t>
  </si>
  <si>
    <t>517 - RIO BRANCO</t>
  </si>
  <si>
    <t>19999319448     31996463551     51980476592          51996463769</t>
  </si>
  <si>
    <t xml:space="preserve"> R$ 18,99       R$ 18,99       R$ 18,99       R$ 18,99 </t>
  </si>
  <si>
    <t>519 - PORTO VELHO</t>
  </si>
  <si>
    <t>69992372309     69993189066     69993261979     69993409924</t>
  </si>
  <si>
    <t xml:space="preserve"> R$ 40,47       R$ 40,47       R$ 40,47       R$ 40,47 </t>
  </si>
  <si>
    <t>515 - SANTO AMARO</t>
  </si>
  <si>
    <t>529 - SÃO LEOPONDO</t>
  </si>
  <si>
    <t>51991708568     51991711470     51991722682     11988237933</t>
  </si>
  <si>
    <t xml:space="preserve"> R$ 32,19       R$ 32,19       R$ 32,19       R$ 157,79 </t>
  </si>
  <si>
    <t xml:space="preserve">531 - VIA SHOP </t>
  </si>
  <si>
    <t>CLARO            CLARO             CLARO             VIVO</t>
  </si>
  <si>
    <t>PLANO TOTAL SHARE 2.0     PLANO TOTAL SHARE 2.0     PLANO TOTAL SHARE 2.0     SMART EMPRESAS 2GB D</t>
  </si>
  <si>
    <t>832140239     832140239     832140239     381199225</t>
  </si>
  <si>
    <t>536 - BH CENTRO</t>
  </si>
  <si>
    <t>11961798677     11991366958     11993141259     31998576863</t>
  </si>
  <si>
    <t xml:space="preserve"> R$ 50,59       R$ 50,59        R$ 50,59        R$ 18,99 </t>
  </si>
  <si>
    <t xml:space="preserve">543 - CAMPO GRANDE </t>
  </si>
  <si>
    <t xml:space="preserve">544 - SHOP PENHA </t>
  </si>
  <si>
    <t xml:space="preserve">546 - SBC </t>
  </si>
  <si>
    <t>558 - MANAUS</t>
  </si>
  <si>
    <t>92984007464     92984009650</t>
  </si>
  <si>
    <t xml:space="preserve"> R$ 39,78       R$ 39,78 </t>
  </si>
  <si>
    <t>559 -OSASCO PLAZA SHOP</t>
  </si>
  <si>
    <t>---</t>
  </si>
  <si>
    <t>560 - CASTENHEIRA SHOP CENTER</t>
  </si>
  <si>
    <t>61996958653     19996492702     61999177867     83981661924     99991551322</t>
  </si>
  <si>
    <t xml:space="preserve"> R$ 19,25          R$ 30,50           R$ 18,99          R$ 18,99          R$ 18,99 </t>
  </si>
  <si>
    <t>563 - SANTANA</t>
  </si>
  <si>
    <t>565 - SHOP GUARARAPES</t>
  </si>
  <si>
    <t>81973452779     81973452844          81973452887     81973452989</t>
  </si>
  <si>
    <t xml:space="preserve"> R$ 40,10       R$ 40,10       R$ 40,10       R$ 40,10 </t>
  </si>
  <si>
    <t xml:space="preserve">571-  SHOP DO VALE </t>
  </si>
  <si>
    <t>11972639969     11974404774</t>
  </si>
  <si>
    <t>575 - ALCANTARA</t>
  </si>
  <si>
    <t>21973009913     21973024047     21973097638     21973126628</t>
  </si>
  <si>
    <t xml:space="preserve"> R$ 27,30        R$ 27,30       R$ 27,30        R$ 27,30 </t>
  </si>
  <si>
    <t xml:space="preserve">578 - FAROL SHOP </t>
  </si>
  <si>
    <t>53991153874     53991156301</t>
  </si>
  <si>
    <t xml:space="preserve"> R$ 19,44       R$ 19,44 </t>
  </si>
  <si>
    <t>583 - SHOP DEL REY</t>
  </si>
  <si>
    <t>11968602629      11996469220     11997959698</t>
  </si>
  <si>
    <t xml:space="preserve"> R$ 18,99       R$ 18,99       R$ 18,99 </t>
  </si>
  <si>
    <t>589 - MACEIÓ</t>
  </si>
  <si>
    <t>590 - BIG SHOP</t>
  </si>
  <si>
    <t>594 - FLORIPA SHOP</t>
  </si>
  <si>
    <t>48988241456       48988246761     48988247888      48988248552</t>
  </si>
  <si>
    <t xml:space="preserve"> R$ 39,78        R$ 39,78       R$ 39,78        R$ 39,78 </t>
  </si>
  <si>
    <t>598 - SHOP AVENIDA CENTER</t>
  </si>
  <si>
    <t>67991206138     61999662958     62996837351</t>
  </si>
  <si>
    <t xml:space="preserve"> R$ 38,12       R$ 30,50        R$ 18,99</t>
  </si>
  <si>
    <t xml:space="preserve">600 - SALVADOR SHOP </t>
  </si>
  <si>
    <t>71983069343      71983071908     71983074306</t>
  </si>
  <si>
    <t xml:space="preserve"> R$ 10,01        R$ 10,01        R$ 10,01 </t>
  </si>
  <si>
    <t>601 - Shop. Recife</t>
  </si>
  <si>
    <t>604 - VITORIA DA CONQUISTA</t>
  </si>
  <si>
    <t xml:space="preserve">605 - SHOP AVENIDA CENTER </t>
  </si>
  <si>
    <t>47992402072     47991083677     47991320744</t>
  </si>
  <si>
    <t xml:space="preserve">607 - PÁTIO LIMERIRA SHOP </t>
  </si>
  <si>
    <t>617 - GOIANIA</t>
  </si>
  <si>
    <t>11944634137      62996807284</t>
  </si>
  <si>
    <t xml:space="preserve"> R$ 18,99        R$ 18,99 </t>
  </si>
  <si>
    <t>618 - SHOP JEQUITIBÁ</t>
  </si>
  <si>
    <t>CLARO            CLARO             CLARO            CLARO            CLARO           CLARO              VIVO</t>
  </si>
  <si>
    <t>PLANO TOTAL SHARE 2.0      PLANO TOTAL SHARE 2.0     PLANO TOTAL SHARE 2.0     PLANO TOTAL SHARE 2.0      PLANO TOTAL SHARE 2.0     PLANO TOTAL SHARE 2.0     SMART EMPRESAS 2GB D</t>
  </si>
  <si>
    <t xml:space="preserve">625 - CAMPO GRANDE </t>
  </si>
  <si>
    <t>67991206191     67991216739      67991260018     67991262036     67991203389      11913614392     67996915048</t>
  </si>
  <si>
    <t xml:space="preserve"> R$ 38,49        R$ 38,49        R$ 38,49        R$ 38,49        R$ 38,49        R$ 143,79        R$ 18,99 </t>
  </si>
  <si>
    <t>627 - Partage Norte Shop. Natal</t>
  </si>
  <si>
    <t xml:space="preserve">629 - PLAZA AVENIDA SHOP </t>
  </si>
  <si>
    <t xml:space="preserve">635 - MINAS SHOP </t>
  </si>
  <si>
    <t>11943904647     11943837705      11944706195</t>
  </si>
  <si>
    <t xml:space="preserve"> R$ 30,50              R$ 30,50             R$ 18,99</t>
  </si>
  <si>
    <t>639 - Cubatão</t>
  </si>
  <si>
    <t>11930382197      11933670940</t>
  </si>
  <si>
    <t xml:space="preserve"> R$ 19,45       R$ 18,99 </t>
  </si>
  <si>
    <t>19.45</t>
  </si>
  <si>
    <t xml:space="preserve">650 - BOULEVARD SHOP BELEM </t>
  </si>
  <si>
    <t xml:space="preserve">651 - SHOP CONJUNTO NACIONAL </t>
  </si>
  <si>
    <t>653 - VIA SUL SHOP FORTALEZA</t>
  </si>
  <si>
    <t>VIVO            CLARO</t>
  </si>
  <si>
    <t>SMART EMPRESAS 2GB D            PLANO TOTAL SHARE 2.0</t>
  </si>
  <si>
    <t>657 - ITABORAÍ</t>
  </si>
  <si>
    <t>75999231216      21970670438</t>
  </si>
  <si>
    <t xml:space="preserve">R$ 18,99        R$ 49,75       </t>
  </si>
  <si>
    <t>659 - BELEM</t>
  </si>
  <si>
    <t>71996406783       62998512754      71997006274</t>
  </si>
  <si>
    <t xml:space="preserve"> R$ 18,99       R$ 18,99         R$ 18,99 </t>
  </si>
  <si>
    <t>CLARO           CLARO                 VIVO              VIVO</t>
  </si>
  <si>
    <t>PLANO TOTAL SHARE 2.0      PLANO TOTAL SHARE 2.0     PLANO INTERNET BOX PJ       SMART EMPRESAS 2GB D</t>
  </si>
  <si>
    <t>660 - PORTO VELHO SHOP</t>
  </si>
  <si>
    <t>63992251261      63992264159      11997597661      75999511231</t>
  </si>
  <si>
    <t xml:space="preserve"> R$ 38,97        R$ 38,97        R$ 104,05      R$ 18,99</t>
  </si>
  <si>
    <t xml:space="preserve">663 - MANAUARA SHOP </t>
  </si>
  <si>
    <t>11913659397       11992703381</t>
  </si>
  <si>
    <t xml:space="preserve">R$ 62,23       R$ 50,59 </t>
  </si>
  <si>
    <t>664 - CHAPECÓ</t>
  </si>
  <si>
    <t>11992700896      11993566604</t>
  </si>
  <si>
    <t xml:space="preserve"> R$ 50,59       R$ 50,59 </t>
  </si>
  <si>
    <t>671 - RIO VERDE</t>
  </si>
  <si>
    <t>11991401963     11992742193</t>
  </si>
  <si>
    <t>CLARO           CLARO           CLARO           CLARO            VIVO</t>
  </si>
  <si>
    <t>PLANO TOTAL SHARE 2.0     PLANO TOTAL SHARE 2.0      PLANO TOTAL SHARE 2.0      PLANO TOTAL SHARE 2.0      SMART EMPRESAS 2GB D</t>
  </si>
  <si>
    <t>675 - PELOTAS</t>
  </si>
  <si>
    <t>53991199140      53991215023      53991219893      53991221269      51996284213</t>
  </si>
  <si>
    <t xml:space="preserve"> R$ 23,80        R$ 23,80        R$ 23,80        R$ 23,80        R$ 18,99</t>
  </si>
  <si>
    <t>679 - IMPERATRIZ</t>
  </si>
  <si>
    <t>11971770802      11997193945</t>
  </si>
  <si>
    <t>680 - PORTAL SHOP</t>
  </si>
  <si>
    <t>38998205566      47992107278</t>
  </si>
  <si>
    <t>681 - CAPIM DOURADO</t>
  </si>
  <si>
    <t>63992254164      63992290241</t>
  </si>
  <si>
    <t xml:space="preserve">R$ 38,97       R$ 38,97  </t>
  </si>
  <si>
    <t>684 - TAGUATINGA SHOP</t>
  </si>
  <si>
    <t>83981490978      83981886019      85981132260      83981888055</t>
  </si>
  <si>
    <t xml:space="preserve">R$ 18,99       R$ 18,99        R$ 18,99        R$ 18,99 </t>
  </si>
  <si>
    <t>688 - NORTE SUL PLAZA</t>
  </si>
  <si>
    <t>11994236273      11994773826</t>
  </si>
  <si>
    <t xml:space="preserve"> R$ 50,59        R$ 50,59 </t>
  </si>
  <si>
    <t xml:space="preserve">696 - SHOP VIA CATARINA </t>
  </si>
  <si>
    <t>48988313356      48988253452      48988283556      48988298696</t>
  </si>
  <si>
    <t xml:space="preserve"> R$ 39,78        R$ 39,78       R$ 39,78       R$ 39,78 </t>
  </si>
  <si>
    <t>PLANO INTERNET BOX PJ          SMART EMPRESAS 2GB D</t>
  </si>
  <si>
    <t>362390541      381199225</t>
  </si>
  <si>
    <t xml:space="preserve">700 - PAULISTA </t>
  </si>
  <si>
    <t>11964955549     11930819693</t>
  </si>
  <si>
    <t xml:space="preserve"> R$ 104,05        R$ 18,99 </t>
  </si>
  <si>
    <t>709 - PARQUE BELEM SHOP</t>
  </si>
  <si>
    <t>91984028809      91984031240      91984034177      91984034997      11976488725</t>
  </si>
  <si>
    <t xml:space="preserve">R$ 23,80        R$ 23,80        R$ 23,80        R$ 23,80        R$ 62,23 </t>
  </si>
  <si>
    <t>712 - CANOAS</t>
  </si>
  <si>
    <t>11992193578      11992722518      11993756959</t>
  </si>
  <si>
    <t xml:space="preserve"> R$ 50,59        R$ 50,59        R$ 50,59 </t>
  </si>
  <si>
    <t>715 - ITAJAÍ</t>
  </si>
  <si>
    <t>719 - MOSSORÓ</t>
  </si>
  <si>
    <t>723 - NORTH SHOP BARRETOS</t>
  </si>
  <si>
    <t>CLARO           CLARO           CLARO           VIVO              VIVO</t>
  </si>
  <si>
    <t>PLANO TOTAL SHARE 2.0     PLANO TOTAL SHARE 2.0     PLANO TOTAL SHARE 2.0     SMART EMPRESAS 2GB D     SMART EMPRESAS 2GB D</t>
  </si>
  <si>
    <t>167858424      167858424      167858424       2027121479      381199225</t>
  </si>
  <si>
    <t>730 - ANDRADAS</t>
  </si>
  <si>
    <t>51991809388      51991810695      51991811947       11942023722      51996248437</t>
  </si>
  <si>
    <t xml:space="preserve"> R$ 19,44        R$ 19,44        R$ 19,44        R$ 19,25       R$ 18,99</t>
  </si>
  <si>
    <t>732 - RECIFE</t>
  </si>
  <si>
    <t>733 - JUIZ DE FORA</t>
  </si>
  <si>
    <t xml:space="preserve">741 - AMAZONAS SHOP </t>
  </si>
  <si>
    <t>11974766093      41992074304      21967459206      92981720259      92992243723</t>
  </si>
  <si>
    <t xml:space="preserve"> R$ 18,99        R$ 18,99        R$ 18,99        R$ 18,99        R$ 18,99 </t>
  </si>
  <si>
    <t>CLARO             VIVO</t>
  </si>
  <si>
    <t>PLANO TOTAL SHARE 2.0         SMART EMPRESAS 2GB D</t>
  </si>
  <si>
    <t>832140239      381199225</t>
  </si>
  <si>
    <t>744 - PAULISTA</t>
  </si>
  <si>
    <t>11993921432       11953217954</t>
  </si>
  <si>
    <t xml:space="preserve"> R$ 62,23        R$ 18,99 </t>
  </si>
  <si>
    <t>752 - GAMA</t>
  </si>
  <si>
    <t>63992199613      63992810054</t>
  </si>
  <si>
    <t xml:space="preserve">R$ 38,97        R$ 38,97 </t>
  </si>
  <si>
    <t>CLARO            CLARO              CLARO           VIVO</t>
  </si>
  <si>
    <t>PLANO TOTAL SHARE 2.0      PLANO TOTAL SHARE 2.0      PLANO TOTAL SHARE 2.0      SMART EMPRESAS 2GB D</t>
  </si>
  <si>
    <t>167796232       167796232       167796232        381199225</t>
  </si>
  <si>
    <t xml:space="preserve">756 - DUQUE  DE CAIXIAS </t>
  </si>
  <si>
    <t>21968867506      21968907645      21970367538       21967229448</t>
  </si>
  <si>
    <t xml:space="preserve"> R$ 40,50         R$ 40,50        R$ 40,50          R$ 18,99</t>
  </si>
  <si>
    <t>764 - PORTAL  SUL SHOP</t>
  </si>
  <si>
    <t>62991088223      62991321783</t>
  </si>
  <si>
    <t xml:space="preserve"> R$ 24,05        R$ 24,05 </t>
  </si>
  <si>
    <t>765 - UAI SHOP</t>
  </si>
  <si>
    <t>61998547724      61998487446</t>
  </si>
  <si>
    <t>770 - PÓA</t>
  </si>
  <si>
    <t>771 - SHOP PÁTIO DIVINOPOLIS</t>
  </si>
  <si>
    <t>86981040656      85982055720</t>
  </si>
  <si>
    <t>774 - SHOP BELA VISTA</t>
  </si>
  <si>
    <t>778 - LONDRINA NORTE SHOP</t>
  </si>
  <si>
    <t>43988401621       43988507524</t>
  </si>
  <si>
    <t xml:space="preserve"> R$ 40,08        R$ 40,04 </t>
  </si>
  <si>
    <t>PLANO INTERNET BOX PJ         SMART EMPRESAS 2GB D          SMART EMPRESAS 2GB D          SMART EMPRESAS 2GB D</t>
  </si>
  <si>
    <t>2027121479         381199225          381199225           381199225</t>
  </si>
  <si>
    <t>795 - BOA VISTA</t>
  </si>
  <si>
    <t>11971965405      11942160548      11964819205      11964822655</t>
  </si>
  <si>
    <t xml:space="preserve"> R$ 104,05        R$ 18,99        R$ 18,99        R$ 18,99 </t>
  </si>
  <si>
    <t xml:space="preserve">PLANO INTERNET BOX PJ          SMART EMPRESAS 2GB D            SMART EMPRESAS 2GB D </t>
  </si>
  <si>
    <t>2027121479       381199225         381199225</t>
  </si>
  <si>
    <t>796 - VIA VERDE SHOP</t>
  </si>
  <si>
    <t>11964992353       47991091063        48991878975</t>
  </si>
  <si>
    <t xml:space="preserve"> R$ 104,05        R$ 18,99        R$ 18,99</t>
  </si>
  <si>
    <t>844 - VENDA NOVA</t>
  </si>
  <si>
    <t>845 - ITAPEVI</t>
  </si>
  <si>
    <t xml:space="preserve">847 - SANTARÉM </t>
  </si>
  <si>
    <t>11964849356      11968602327</t>
  </si>
  <si>
    <t>848 - AV TABOÃO</t>
  </si>
  <si>
    <t>853 - FRANCO DA ROCHA</t>
  </si>
  <si>
    <t>857 - SHOP PATIO BELEM</t>
  </si>
  <si>
    <t>11969022496      11968667404</t>
  </si>
  <si>
    <t xml:space="preserve"> R$ 18,99         R$ 18,99 </t>
  </si>
  <si>
    <t>876 - AMAPÁ  GARDEN SHOP</t>
  </si>
  <si>
    <t>96984125993       96984127774</t>
  </si>
  <si>
    <t xml:space="preserve"> R$ 39,78        R$ 39,78 </t>
  </si>
  <si>
    <t xml:space="preserve">877 - CAXIAS DO SUL </t>
  </si>
  <si>
    <t>54992898964       54992898980</t>
  </si>
  <si>
    <t xml:space="preserve"> R$ 32,19         R$ 32,19 </t>
  </si>
  <si>
    <t>885 - SHOP RIO MAR RECIFE</t>
  </si>
  <si>
    <t>81973453035      81973453097      81973453116       81973453135</t>
  </si>
  <si>
    <t xml:space="preserve"> R$ 40,10        R$ 40,10        R$ 40,10         R$ 40,10 </t>
  </si>
  <si>
    <t>895 - CAZAJEIRAS</t>
  </si>
  <si>
    <t>905 - ICOARACI</t>
  </si>
  <si>
    <t>908 - ANANINDEUA</t>
  </si>
  <si>
    <t>91991190116      91993911151</t>
  </si>
  <si>
    <t xml:space="preserve">909 - VARZEA GRANDE </t>
  </si>
  <si>
    <t>21967265374      51980230064</t>
  </si>
  <si>
    <t>913 - RONDONÓPOLIS</t>
  </si>
  <si>
    <t>915 - GUARAPUAVA</t>
  </si>
  <si>
    <t>11991381671        11992424977</t>
  </si>
  <si>
    <t xml:space="preserve"> R$ 50,59         R$ 62,23 </t>
  </si>
  <si>
    <t xml:space="preserve">925 - NORTH SHOP JÓQUEI </t>
  </si>
  <si>
    <t>926 - PAULISTA</t>
  </si>
  <si>
    <t>930 - BOULEVARD LONDRINA SHOP</t>
  </si>
  <si>
    <t>43988235859       43988238018</t>
  </si>
  <si>
    <t xml:space="preserve"> R$ 51,33         R$ 51,33 </t>
  </si>
  <si>
    <t>936 - ITAPECERICA  SHOP</t>
  </si>
  <si>
    <t>CLARO           VIVO            VIVO</t>
  </si>
  <si>
    <t>PLANO TOTAL SHARE 2.0     SMART EMPRESAS 2GB D      SMART EMPRESAS 10GB TE</t>
  </si>
  <si>
    <t>832140239       381199225         381199225</t>
  </si>
  <si>
    <t>944 - SHOP TERESINA</t>
  </si>
  <si>
    <t>11994059526     21967265612      51996628730</t>
  </si>
  <si>
    <t xml:space="preserve"> R$ 62,23       R$ 18,99         R$ 31,09</t>
  </si>
  <si>
    <t>951 - São Luís Shop</t>
  </si>
  <si>
    <t>957 - MANAUS</t>
  </si>
  <si>
    <t>92984032709       92984034666       92984042932      92984048469       11988046439</t>
  </si>
  <si>
    <t xml:space="preserve"> R$ 39,78       R$ 39,78        R$ 39,78        R$ 39,78        R$ 143,79</t>
  </si>
  <si>
    <t>PLANO INTERNET BOX PJ      SMART EMPRESAS 2GB D      SMART EMPRESAS 2GB D</t>
  </si>
  <si>
    <t>958 - SHOP NOVA IGUAÇU</t>
  </si>
  <si>
    <t>11972370457      11930284467      41992858405</t>
  </si>
  <si>
    <t xml:space="preserve"> R$ 104.05       R$ 18,99         R$ 18,99 </t>
  </si>
  <si>
    <t>Custo por  Operadora - Lojas</t>
  </si>
  <si>
    <t>Custo por  Operadora - EC-CDs-Datacenter</t>
  </si>
  <si>
    <t>Qtde de Links</t>
  </si>
  <si>
    <t>Valor Total</t>
  </si>
  <si>
    <t>Média</t>
  </si>
  <si>
    <t>Claro</t>
  </si>
  <si>
    <t>Fibrion</t>
  </si>
  <si>
    <t>Mundivox</t>
  </si>
  <si>
    <t>Vero</t>
  </si>
  <si>
    <t>Megatelecom</t>
  </si>
  <si>
    <t>Oi</t>
  </si>
  <si>
    <t>SEA Telecom</t>
  </si>
  <si>
    <t>Qtde de lojas</t>
  </si>
  <si>
    <t>SP18</t>
  </si>
  <si>
    <t>Tesa</t>
  </si>
  <si>
    <t>Wipi</t>
  </si>
  <si>
    <t>Qtde de links</t>
  </si>
  <si>
    <t>WFT / AST</t>
  </si>
  <si>
    <t>Vtal</t>
  </si>
  <si>
    <t>Custo  total</t>
  </si>
  <si>
    <t>Irapido</t>
  </si>
  <si>
    <t>ITS Brasil</t>
  </si>
  <si>
    <t>SITE</t>
  </si>
  <si>
    <t>EQUINIX</t>
  </si>
  <si>
    <t>CD ITAQUA</t>
  </si>
  <si>
    <t>CD BLUMENAU</t>
  </si>
  <si>
    <t>CD GOIÂNIA</t>
  </si>
  <si>
    <t>CD NAVEGANTES</t>
  </si>
  <si>
    <t>EQX</t>
  </si>
  <si>
    <t>CD-820</t>
  </si>
  <si>
    <t>CD-811</t>
  </si>
  <si>
    <t>CD-807</t>
  </si>
  <si>
    <t>CD-818</t>
  </si>
  <si>
    <t>OPERADORA 1</t>
  </si>
  <si>
    <t>QTDE LINKS</t>
  </si>
  <si>
    <t>VALOR</t>
  </si>
  <si>
    <t>TIPO</t>
  </si>
  <si>
    <t>VELOCIDADE</t>
  </si>
  <si>
    <t>1Gbps</t>
  </si>
  <si>
    <t>DATA DE ATIVAÇÃO</t>
  </si>
  <si>
    <t>VIGÊNCIA</t>
  </si>
  <si>
    <t>DESIGNAÇÃO</t>
  </si>
  <si>
    <t>Equinix</t>
  </si>
  <si>
    <t>OPERADORA 2</t>
  </si>
  <si>
    <t>MegaTelecom</t>
  </si>
  <si>
    <t>OPERADORA</t>
  </si>
  <si>
    <t>CUSTO</t>
  </si>
  <si>
    <t>OPERADORA 3</t>
  </si>
  <si>
    <t>Mega Telecom</t>
  </si>
  <si>
    <t xml:space="preserve">SITEF </t>
  </si>
  <si>
    <t>SITEF 2</t>
  </si>
  <si>
    <t>SITEF 1</t>
  </si>
  <si>
    <t>MPLS -P2 EQN-ALA</t>
  </si>
  <si>
    <t>MPLS -P1 EQN-MIG</t>
  </si>
  <si>
    <t>20Mb</t>
  </si>
  <si>
    <t>10Mb</t>
  </si>
  <si>
    <t>Cancelado</t>
  </si>
  <si>
    <t>50Mb</t>
  </si>
  <si>
    <t>Cancelamentos</t>
  </si>
  <si>
    <t>Data solicitação</t>
  </si>
  <si>
    <t>Dedicado - Tivit</t>
  </si>
  <si>
    <t>sem cob em mar/26</t>
  </si>
  <si>
    <t>OPERADORA 4</t>
  </si>
  <si>
    <t>Dedicado - EC antigo</t>
  </si>
  <si>
    <t>MPLS - (Sitef)</t>
  </si>
  <si>
    <t>L2L (EC-Equinix)</t>
  </si>
  <si>
    <t>sem cobr em fev/26</t>
  </si>
  <si>
    <t>1 Gb</t>
  </si>
  <si>
    <t>Lan2lan (CD-Tivit)</t>
  </si>
  <si>
    <t>Lan2lan (EC-Tivit)</t>
  </si>
  <si>
    <t>sem cob jan/26</t>
  </si>
  <si>
    <t>MPLS -P2 EQN-MIG</t>
  </si>
  <si>
    <t>110003392058297</t>
  </si>
  <si>
    <t>MPLS - (sitef)</t>
  </si>
  <si>
    <t>sem cobrança dez/25</t>
  </si>
  <si>
    <t>OPERADORA 5</t>
  </si>
  <si>
    <t>OPERADORA 6</t>
  </si>
  <si>
    <t>PPOE LOJAS</t>
  </si>
  <si>
    <t>Ip</t>
  </si>
  <si>
    <t>Mascara</t>
  </si>
  <si>
    <t>Gateway</t>
  </si>
  <si>
    <t>Data da alteração</t>
  </si>
  <si>
    <t>Obs</t>
  </si>
  <si>
    <t>User</t>
  </si>
  <si>
    <t>Passoword</t>
  </si>
  <si>
    <t>SPIN18</t>
  </si>
  <si>
    <t>10.65.14.1</t>
  </si>
  <si>
    <t>10Mb ded</t>
  </si>
  <si>
    <t>link já estava ativo/ alterou para PPOE o acesso</t>
  </si>
  <si>
    <t>spin18_marisa</t>
  </si>
  <si>
    <t>HBQPGEDL</t>
  </si>
  <si>
    <t>VERO</t>
  </si>
  <si>
    <t>100.64.98.138</t>
  </si>
  <si>
    <t>300Mb ADSL</t>
  </si>
  <si>
    <t>A077474100037@sp.spo</t>
  </si>
  <si>
    <t>8qpqmypdipmv</t>
  </si>
  <si>
    <t>100.64.105.112</t>
  </si>
  <si>
    <t>A077474100031@rs.pae</t>
  </si>
  <si>
    <t>h0m8pphrroel</t>
  </si>
  <si>
    <t>Operadora 1</t>
  </si>
  <si>
    <t>Ip Links Contratados</t>
  </si>
  <si>
    <t>Data Ativação</t>
  </si>
  <si>
    <t>200.246.15.46</t>
  </si>
  <si>
    <t>200.246.15.45</t>
  </si>
  <si>
    <t>20Mb dedicado</t>
  </si>
  <si>
    <t>DHCP</t>
  </si>
  <si>
    <t>192.168.0.1</t>
  </si>
  <si>
    <t>600Mb ADSL</t>
  </si>
  <si>
    <t>187.103.33.18</t>
  </si>
  <si>
    <t>187.103.33.17</t>
  </si>
  <si>
    <t>100Mb semidedicado</t>
  </si>
  <si>
    <t>Faixa de IPs: 187.103.33.18 a 187.103.33.18</t>
  </si>
  <si>
    <t xml:space="preserve">    Gateway: 187.103.33.17</t>
  </si>
  <si>
    <t xml:space="preserve">    Máscara de Sub-rede: 255.255.255.252</t>
  </si>
  <si>
    <t xml:space="preserve">    DNS Primário: 200.196.48.20</t>
  </si>
  <si>
    <t xml:space="preserve">    DNS Secundário: 179.191.120.5</t>
  </si>
  <si>
    <t>200.179.90.106</t>
  </si>
  <si>
    <t>200.179.90.105</t>
  </si>
  <si>
    <t>Faixa de IPs: 177.92.98.246 a 177.92.98.246</t>
  </si>
  <si>
    <t>Gateway: 177.92.98.245</t>
  </si>
  <si>
    <t>Máscara de Sub-rede: 255.255.255.252</t>
  </si>
  <si>
    <t>DNS Primário: 200.196.48.20</t>
  </si>
  <si>
    <t>DNS Secundário: 179.191.120.5</t>
  </si>
  <si>
    <t xml:space="preserve">8
5
8
</t>
  </si>
  <si>
    <t>187.32.33.21</t>
  </si>
  <si>
    <t>187.32.33.22</t>
  </si>
  <si>
    <t>189.38.108.41</t>
  </si>
  <si>
    <t>189.38.108.42</t>
  </si>
  <si>
    <t>189.112.203.69</t>
  </si>
  <si>
    <t>189.112.203.70</t>
  </si>
  <si>
    <t>187.72.10.73</t>
  </si>
  <si>
    <t>187.72.10.74</t>
  </si>
  <si>
    <t>189.2.77.222</t>
  </si>
  <si>
    <t>189.2.77.221</t>
  </si>
  <si>
    <t>200.248.176.14</t>
  </si>
  <si>
    <t>200.148.176.13</t>
  </si>
  <si>
    <t>200.208.245.70</t>
  </si>
  <si>
    <t>200.208.245.69</t>
  </si>
  <si>
    <t>187.32.218.249</t>
  </si>
  <si>
    <t>187.32.218.250</t>
  </si>
  <si>
    <t>187.32.37.161</t>
  </si>
  <si>
    <t>187.32.37.162</t>
  </si>
  <si>
    <t>201.90.81.2</t>
  </si>
  <si>
    <t>201.90.81.1</t>
  </si>
  <si>
    <t>200.213.233.74</t>
  </si>
  <si>
    <t>200.213.233.73</t>
  </si>
  <si>
    <t>189.86.32.98</t>
  </si>
  <si>
    <t>189.86.32.97</t>
  </si>
  <si>
    <t>200.208.49.66</t>
  </si>
  <si>
    <t>200.208.49.65</t>
  </si>
  <si>
    <t>189.2.205.98</t>
  </si>
  <si>
    <t>189.2.205.97</t>
  </si>
  <si>
    <t>187.28.127.246</t>
  </si>
  <si>
    <t>187.28.127.245</t>
  </si>
  <si>
    <t>201.45.58.210</t>
  </si>
  <si>
    <t>201.45.58.209</t>
  </si>
  <si>
    <t>189.3.25.194</t>
  </si>
  <si>
    <t>189.3.25.193</t>
  </si>
  <si>
    <t>200.18.249.113</t>
  </si>
  <si>
    <t>189.22.21.18</t>
  </si>
  <si>
    <t>189.22.21.17</t>
  </si>
  <si>
    <t>201.65.242.50</t>
  </si>
  <si>
    <t>201.65.242.49</t>
  </si>
  <si>
    <t>200.178.26.82</t>
  </si>
  <si>
    <t>200.178.26.81</t>
  </si>
  <si>
    <t>201.56.23.113</t>
  </si>
  <si>
    <t>201.56.21.194</t>
  </si>
  <si>
    <t>201.56.21.193</t>
  </si>
  <si>
    <t>189.3.26.241</t>
  </si>
  <si>
    <t>200.182.133.66</t>
  </si>
  <si>
    <t>200.182.133.65</t>
  </si>
  <si>
    <t>189.3.99.145</t>
  </si>
  <si>
    <t>189.3.231.50</t>
  </si>
  <si>
    <t>189.3.231.49</t>
  </si>
  <si>
    <t>177.69.90.241</t>
  </si>
  <si>
    <t>177.69.90.242</t>
  </si>
  <si>
    <t>201.56.5.210</t>
  </si>
  <si>
    <t>189.22.47.114</t>
  </si>
  <si>
    <t>189.22.47.113</t>
  </si>
  <si>
    <t>201.73.231.161</t>
  </si>
  <si>
    <t>177.43.125.122</t>
  </si>
  <si>
    <t>177.43.125.121</t>
  </si>
  <si>
    <t>30Mb dedicado</t>
  </si>
  <si>
    <t>201.56.23.98</t>
  </si>
  <si>
    <t>201.56.23.97</t>
  </si>
  <si>
    <t>201.39.162.226</t>
  </si>
  <si>
    <t>201.39.162.225</t>
  </si>
  <si>
    <t>200.183.76.198</t>
  </si>
  <si>
    <t>200.183.76.197</t>
  </si>
  <si>
    <t>200.214.135.34</t>
  </si>
  <si>
    <t>200.214.135.33</t>
  </si>
  <si>
    <t>189.16.242.130</t>
  </si>
  <si>
    <t>189.16.242.129</t>
  </si>
  <si>
    <t>189.2.122.178</t>
  </si>
  <si>
    <t>189.2.122.177</t>
  </si>
  <si>
    <t>200.208.89.178</t>
  </si>
  <si>
    <t>200.208.89.177</t>
  </si>
  <si>
    <t>200.183.211.98</t>
  </si>
  <si>
    <t>200.183.211.97</t>
  </si>
  <si>
    <t>200.178.2.2</t>
  </si>
  <si>
    <t>200.178.2.1</t>
  </si>
  <si>
    <t>201.73.210.66</t>
  </si>
  <si>
    <t>201.73.210.65</t>
  </si>
  <si>
    <t>187.28.183.18</t>
  </si>
  <si>
    <t>187.28.183.17</t>
  </si>
  <si>
    <t>200.182.16.242</t>
  </si>
  <si>
    <t>200.182.16.241</t>
  </si>
  <si>
    <t>187.28.181.82</t>
  </si>
  <si>
    <t>187.28.181.81</t>
  </si>
  <si>
    <t>189.2.17.98</t>
  </si>
  <si>
    <t>189.2.17.97</t>
  </si>
  <si>
    <t>189.16.81.194</t>
  </si>
  <si>
    <t>189.16.81.193</t>
  </si>
  <si>
    <t>201.57.254.210</t>
  </si>
  <si>
    <t>201.57.254.209</t>
  </si>
  <si>
    <t>189.22.134.210</t>
  </si>
  <si>
    <t>189.22.134.209</t>
  </si>
  <si>
    <t>201.56.6.50</t>
  </si>
  <si>
    <t>201.56.6.49</t>
  </si>
  <si>
    <t>201.72.81.14</t>
  </si>
  <si>
    <t>201.72.81.13</t>
  </si>
  <si>
    <t>189.22.242.98</t>
  </si>
  <si>
    <t>189.22.242.97</t>
  </si>
  <si>
    <t>189.17.155.210</t>
  </si>
  <si>
    <t>189.17.155.209</t>
  </si>
  <si>
    <t>189.3.198.50</t>
  </si>
  <si>
    <t>189.3.198.49</t>
  </si>
  <si>
    <t>201.45.250.2</t>
  </si>
  <si>
    <t>201.45.250.1</t>
  </si>
  <si>
    <t>201.90.95.178</t>
  </si>
  <si>
    <t>201.90.95.177</t>
  </si>
  <si>
    <t>189.16.51.226</t>
  </si>
  <si>
    <t>189.16.51.225</t>
  </si>
  <si>
    <t>200.254.105.2</t>
  </si>
  <si>
    <t>200.254.105.1</t>
  </si>
  <si>
    <t>200.174.80.210</t>
  </si>
  <si>
    <t>200.174.80.209</t>
  </si>
  <si>
    <t>201.39.6.2</t>
  </si>
  <si>
    <t>201.39.6.1</t>
  </si>
  <si>
    <t>200.183.235.50</t>
  </si>
  <si>
    <t>200.183.235.49</t>
  </si>
  <si>
    <t>200.252.18.194</t>
  </si>
  <si>
    <t>200.252.18.193</t>
  </si>
  <si>
    <t>189.22.63.130</t>
  </si>
  <si>
    <t>189.22.63.129</t>
  </si>
  <si>
    <t>201.30.240.50</t>
  </si>
  <si>
    <t>201.30.240.49</t>
  </si>
  <si>
    <t>189.16.57.194</t>
  </si>
  <si>
    <t>189.16.57.193</t>
  </si>
  <si>
    <t>201.90.233.66</t>
  </si>
  <si>
    <t>201.90.233.65</t>
  </si>
  <si>
    <t>189.22.23.34</t>
  </si>
  <si>
    <t>189.22.23.33</t>
  </si>
  <si>
    <t>189.17.120.18</t>
  </si>
  <si>
    <t>189.17.120.17</t>
  </si>
  <si>
    <t>189.22.11.98</t>
  </si>
  <si>
    <t>189.22.11.97</t>
  </si>
  <si>
    <t>189.2.83.82</t>
  </si>
  <si>
    <t>189.2.83.81</t>
  </si>
  <si>
    <t>201.39.233.194</t>
  </si>
  <si>
    <t>201.39.233.193</t>
  </si>
  <si>
    <t>200.208.207.98</t>
  </si>
  <si>
    <t>200.208.207.97</t>
  </si>
  <si>
    <t>201.45.130.18</t>
  </si>
  <si>
    <t>201.45.130.17</t>
  </si>
  <si>
    <t>189.42.25.210</t>
  </si>
  <si>
    <t>189.42.25.209</t>
  </si>
  <si>
    <t>200.182.9.162</t>
  </si>
  <si>
    <t>200.182.9.161</t>
  </si>
  <si>
    <t>189.42.41.130</t>
  </si>
  <si>
    <t>189.42.41.129</t>
  </si>
  <si>
    <t>189.43.211.18</t>
  </si>
  <si>
    <t>189.43.211.17</t>
  </si>
  <si>
    <t>189.16.77.242</t>
  </si>
  <si>
    <t>189.16.77.241</t>
  </si>
  <si>
    <t>201.90.170.50</t>
  </si>
  <si>
    <t>201.90.170.49</t>
  </si>
  <si>
    <t>189.22.236.130</t>
  </si>
  <si>
    <t>189.22.236.129</t>
  </si>
  <si>
    <t>200.214.95.2</t>
  </si>
  <si>
    <t>200.214.95.1</t>
  </si>
  <si>
    <t>189.3.58.178</t>
  </si>
  <si>
    <t>189.3.58.177</t>
  </si>
  <si>
    <t>189.58.111.82</t>
  </si>
  <si>
    <t>189.58.111.81</t>
  </si>
  <si>
    <t>189.2.126.130</t>
  </si>
  <si>
    <t>189.2.126.129</t>
  </si>
  <si>
    <t>189.16.231.178</t>
  </si>
  <si>
    <t>189.16.231.177</t>
  </si>
  <si>
    <t>189.2.215.178</t>
  </si>
  <si>
    <t>189.2.215.177</t>
  </si>
  <si>
    <t>201.73.229.114</t>
  </si>
  <si>
    <t>201.73.229.113</t>
  </si>
  <si>
    <t>200.250.12.98</t>
  </si>
  <si>
    <t>200.250.12.97</t>
  </si>
  <si>
    <t>200.166.41.130</t>
  </si>
  <si>
    <t>200.166.41.129</t>
  </si>
  <si>
    <t>200.179.50.18</t>
  </si>
  <si>
    <t>200.179.50.17</t>
  </si>
  <si>
    <t>189.3.117.210</t>
  </si>
  <si>
    <t>189.3.117.209</t>
  </si>
  <si>
    <t>WCS/Fibrion</t>
  </si>
  <si>
    <t>177.184.192.98</t>
  </si>
  <si>
    <t>177.184.192.97</t>
  </si>
  <si>
    <t>100Mb dedicado</t>
  </si>
  <si>
    <t>50Mb dedicado</t>
  </si>
  <si>
    <t>201.30.230.2</t>
  </si>
  <si>
    <t>201.30.230.1</t>
  </si>
  <si>
    <t>201.45.141.18</t>
  </si>
  <si>
    <t>201.45.141.17</t>
  </si>
  <si>
    <t>201.56.21.18</t>
  </si>
  <si>
    <t>201.56.21.17</t>
  </si>
  <si>
    <t>186.216.206.25</t>
  </si>
  <si>
    <t>10.11.12.1</t>
  </si>
  <si>
    <t>EC Novo</t>
  </si>
  <si>
    <t>187.102.147.38</t>
  </si>
  <si>
    <t>187.102.147.37</t>
  </si>
  <si>
    <t>DNS  Primário: 179.191.90.20 - DNS Secundário: 200.196.48.20</t>
  </si>
  <si>
    <t>201.44.66.98</t>
  </si>
  <si>
    <t>201.44.66.97</t>
  </si>
  <si>
    <t xml:space="preserve"> 189.20.94.80/29</t>
  </si>
  <si>
    <t>189.20.94.79</t>
  </si>
  <si>
    <t>DNS  Primário: 200.153.0.68 - DNS Secundário: 200.153.0.196</t>
  </si>
  <si>
    <t>201.45.217.226</t>
  </si>
  <si>
    <t>201.45.217.225</t>
  </si>
  <si>
    <t>187.13.52.134</t>
  </si>
  <si>
    <t>187.13.52.133</t>
  </si>
  <si>
    <t>400Mb ADSL</t>
  </si>
  <si>
    <t>Vlan 211</t>
  </si>
  <si>
    <t>201.90.95.146</t>
  </si>
  <si>
    <t>201.90.95.145</t>
  </si>
  <si>
    <t>201.65.216.226</t>
  </si>
  <si>
    <t>201.65.216.225</t>
  </si>
  <si>
    <t>201.45.250.82</t>
  </si>
  <si>
    <t>201.45.250.81</t>
  </si>
  <si>
    <t>201.73.201.146</t>
  </si>
  <si>
    <t>201.73.201.145</t>
  </si>
  <si>
    <t>201.64.184.50</t>
  </si>
  <si>
    <t>201.64.184.49</t>
  </si>
  <si>
    <t>177.222.18.126</t>
  </si>
  <si>
    <t>177.222.18.125</t>
  </si>
  <si>
    <t>189.23.40.50</t>
  </si>
  <si>
    <t>189.23.40.49</t>
  </si>
  <si>
    <t>201.72.10.242</t>
  </si>
  <si>
    <t>201.72.10.241</t>
  </si>
  <si>
    <t>177.1.240.182</t>
  </si>
  <si>
    <t>177.1.240.181</t>
  </si>
  <si>
    <t>200.205.35.42</t>
  </si>
  <si>
    <t>200.205.35.41</t>
  </si>
  <si>
    <t>187.72.11.189</t>
  </si>
  <si>
    <t>187.72.11.190</t>
  </si>
  <si>
    <t>201.59.82.138</t>
  </si>
  <si>
    <t>187.12.217.146</t>
  </si>
  <si>
    <t>187.12.217.145</t>
  </si>
  <si>
    <t>189.22.130.18</t>
  </si>
  <si>
    <t>189.22.130.17</t>
  </si>
  <si>
    <t>187.72.237.153</t>
  </si>
  <si>
    <t>187.72.237.154</t>
  </si>
  <si>
    <t>201.28.99.194</t>
  </si>
  <si>
    <t>201.28.99.193</t>
  </si>
  <si>
    <t>189.3.95.18</t>
  </si>
  <si>
    <t>189.3.95.17</t>
  </si>
  <si>
    <t>187.28.219.130</t>
  </si>
  <si>
    <t>187.28.219.129</t>
  </si>
  <si>
    <t>200.205.88.242</t>
  </si>
  <si>
    <t>200.205.88.241</t>
  </si>
  <si>
    <t>200.141.192.90</t>
  </si>
  <si>
    <t>200.141.192.89</t>
  </si>
  <si>
    <t>201.30.217.18</t>
  </si>
  <si>
    <t>201.30.217.17</t>
  </si>
  <si>
    <t>201.11.155.238</t>
  </si>
  <si>
    <t>201.11.155.237</t>
  </si>
  <si>
    <t>200.254.105.18</t>
  </si>
  <si>
    <t>200.254.105.17</t>
  </si>
  <si>
    <t>PPOE</t>
  </si>
  <si>
    <t>800Mb ADSL</t>
  </si>
  <si>
    <t>PPOE - user: A082623430007@sp.tbs.ngvox - pass   -   177.137.64.101 177.137.64.201  DNS</t>
  </si>
  <si>
    <t xml:space="preserve">PPOE - user: A082623430051@sp.bre - pass:    -  177.137.64.101 177.137.64.201 DNS
</t>
  </si>
  <si>
    <t>200.178.67.178</t>
  </si>
  <si>
    <t>200.178.67.177</t>
  </si>
  <si>
    <t>200.241.195.58</t>
  </si>
  <si>
    <t>200.241.195.57</t>
  </si>
  <si>
    <t>201.16.255.37</t>
  </si>
  <si>
    <t>210.16.255.38</t>
  </si>
  <si>
    <t>177.1.241.134</t>
  </si>
  <si>
    <t>177.1.241.133</t>
  </si>
  <si>
    <t>189.16.95.178</t>
  </si>
  <si>
    <t>189.16.95.177</t>
  </si>
  <si>
    <t>201.18.23.134</t>
  </si>
  <si>
    <t>201.18.23.133</t>
  </si>
  <si>
    <t>177.177.57.214</t>
  </si>
  <si>
    <t>177.177.57.213</t>
  </si>
  <si>
    <t>201.88.107.14</t>
  </si>
  <si>
    <t>201.88.107.13</t>
  </si>
  <si>
    <t>177.27.40.114</t>
  </si>
  <si>
    <t>177.27.40.113</t>
  </si>
  <si>
    <t>200.248.6.114</t>
  </si>
  <si>
    <t>200.248.6.113</t>
  </si>
  <si>
    <t>187.12.96.110</t>
  </si>
  <si>
    <t>187.12.96.109</t>
  </si>
  <si>
    <t>PPOE - user: A082623430162@sp.srr - pass: wbqf51lgslab</t>
  </si>
  <si>
    <t>189.31.115.106</t>
  </si>
  <si>
    <t>189.31.115.105</t>
  </si>
  <si>
    <t>PPOE - user: A08262343002600@sp.spo - pass: 78n12ukrvn8h</t>
  </si>
  <si>
    <t>189.2.70.194</t>
  </si>
  <si>
    <t>189.2.70.193</t>
  </si>
  <si>
    <t>201.59.222.10</t>
  </si>
  <si>
    <t>201.59.222.9</t>
  </si>
  <si>
    <t>201.32.34.226</t>
  </si>
  <si>
    <t>201.32.34.225</t>
  </si>
  <si>
    <t>200.164.83.162</t>
  </si>
  <si>
    <t>200.164.83.16</t>
  </si>
  <si>
    <t>187.125.58.74</t>
  </si>
  <si>
    <t>187.125.58.73</t>
  </si>
  <si>
    <t>201.18.61.94</t>
  </si>
  <si>
    <t>201.18.61.93</t>
  </si>
  <si>
    <t>201.59.222.6</t>
  </si>
  <si>
    <t>201.59.222.5</t>
  </si>
  <si>
    <t>187.8.191.10</t>
  </si>
  <si>
    <t>187.8.191.9</t>
  </si>
  <si>
    <t>177.2.66.130</t>
  </si>
  <si>
    <t>177.2.66.129</t>
  </si>
  <si>
    <t>201.22.226.114</t>
  </si>
  <si>
    <t>201.22.226.113</t>
  </si>
  <si>
    <t>189.56.212.167</t>
  </si>
  <si>
    <t>189.56.212.166</t>
  </si>
  <si>
    <t>200.139.89.74</t>
  </si>
  <si>
    <t>200.139.89.73</t>
  </si>
  <si>
    <t>189.108.108.73</t>
  </si>
  <si>
    <t>189.108.108.72</t>
  </si>
  <si>
    <t>200.148.197.67</t>
  </si>
  <si>
    <t>200.148.197.66</t>
  </si>
  <si>
    <t>200.159.53.99</t>
  </si>
  <si>
    <t>200.159.53.98</t>
  </si>
  <si>
    <t>186.201.28.250</t>
  </si>
  <si>
    <t>186.201.28.249</t>
  </si>
  <si>
    <t>187.50.172.138</t>
  </si>
  <si>
    <t>187.50.172.137</t>
  </si>
  <si>
    <t>187.50.191.154</t>
  </si>
  <si>
    <t>187.50.191.53</t>
  </si>
  <si>
    <t>201.47.186.218</t>
  </si>
  <si>
    <t>201.47.186.217</t>
  </si>
  <si>
    <t>187.115.40.150</t>
  </si>
  <si>
    <t>187.115.40.149</t>
  </si>
  <si>
    <t>177.19.139.174</t>
  </si>
  <si>
    <t>177.19.139.173</t>
  </si>
  <si>
    <t>187.50.74.117</t>
  </si>
  <si>
    <t>187.50.74.116</t>
  </si>
  <si>
    <t>179.185.38.106</t>
  </si>
  <si>
    <t>179.185.38.105</t>
  </si>
  <si>
    <t>177.43.232.130</t>
  </si>
  <si>
    <t>177.43.232.129</t>
  </si>
  <si>
    <t>177.135.73.234</t>
  </si>
  <si>
    <t>177.135.73.233</t>
  </si>
  <si>
    <t>177.135.215.42</t>
  </si>
  <si>
    <t>177.135.215.41</t>
  </si>
  <si>
    <t>189.56.174.66</t>
  </si>
  <si>
    <t>189.56.174.65</t>
  </si>
  <si>
    <t>189.87.107.186</t>
  </si>
  <si>
    <t>189.87.107.185</t>
  </si>
  <si>
    <t>177.19.237.206</t>
  </si>
  <si>
    <t>177.19.237.205</t>
  </si>
  <si>
    <t>187.92.199.114</t>
  </si>
  <si>
    <t>187.92.199.113</t>
  </si>
  <si>
    <t>177.19.141.202</t>
  </si>
  <si>
    <t>177.19.141.201</t>
  </si>
  <si>
    <t>200.178.84.242</t>
  </si>
  <si>
    <t>200.178.84.241</t>
  </si>
  <si>
    <t>201.44.164.210</t>
  </si>
  <si>
    <t>201.44.164.209</t>
  </si>
  <si>
    <t>200.168.137.50</t>
  </si>
  <si>
    <t>200.168.137.49</t>
  </si>
  <si>
    <t>201.39.11.14</t>
  </si>
  <si>
    <t>201.39.11.13</t>
  </si>
  <si>
    <t>Vlan 122</t>
  </si>
  <si>
    <t>189.3.221.146</t>
  </si>
  <si>
    <t>189.3.221.145</t>
  </si>
  <si>
    <t>189.17.153.82</t>
  </si>
  <si>
    <t>189.17.153.81</t>
  </si>
  <si>
    <t>200.179.224.90</t>
  </si>
  <si>
    <t>200.179.224.89</t>
  </si>
  <si>
    <t>189.22.16.5</t>
  </si>
  <si>
    <t>189.22.16.1</t>
  </si>
  <si>
    <t>179.80.90.42</t>
  </si>
  <si>
    <t>179.80.90.41</t>
  </si>
  <si>
    <t>Fibion</t>
  </si>
  <si>
    <t xml:space="preserve"> 187.62.213.22</t>
  </si>
  <si>
    <t xml:space="preserve"> 187.62.213.21</t>
  </si>
  <si>
    <t>189.16.83.226</t>
  </si>
  <si>
    <t>189.16.83.225</t>
  </si>
  <si>
    <t>201.57.200.18</t>
  </si>
  <si>
    <t>201.57.200.17</t>
  </si>
  <si>
    <t>Local</t>
  </si>
  <si>
    <t xml:space="preserve">Designação </t>
  </si>
  <si>
    <t>Banda</t>
  </si>
  <si>
    <t>Custo/mês</t>
  </si>
  <si>
    <t>Infra Extra</t>
  </si>
  <si>
    <t>IP Firewall</t>
  </si>
  <si>
    <t>S/N Fortigate</t>
  </si>
  <si>
    <t>Última Atualização</t>
  </si>
  <si>
    <t>621980221280394</t>
  </si>
  <si>
    <t>10.8.108.1</t>
  </si>
  <si>
    <t>Blumenau</t>
  </si>
  <si>
    <t>Navegantes</t>
  </si>
  <si>
    <t>113004643101796</t>
  </si>
  <si>
    <t>ZZ45726039001</t>
  </si>
  <si>
    <t>100Mb</t>
  </si>
  <si>
    <t>10.8.120.1</t>
  </si>
  <si>
    <t>110003825281299</t>
  </si>
  <si>
    <t>Equipamento</t>
  </si>
  <si>
    <t>São Paulo - SP</t>
  </si>
  <si>
    <t>Goiânia - GO</t>
  </si>
  <si>
    <t>Blumenau - SC</t>
  </si>
  <si>
    <t>Navegantes - SC</t>
  </si>
  <si>
    <t>Itaquaquecetuba-SP</t>
  </si>
  <si>
    <t>SWITCH1</t>
  </si>
  <si>
    <t>10.10.22.30</t>
  </si>
  <si>
    <t>10.8.108.4</t>
  </si>
  <si>
    <t>10.8.100.5</t>
  </si>
  <si>
    <t>10.8.107.8</t>
  </si>
  <si>
    <t>10.5.6.36</t>
  </si>
  <si>
    <t>SWITCH2</t>
  </si>
  <si>
    <t>10.10.22.31</t>
  </si>
  <si>
    <t>10.8.108.5</t>
  </si>
  <si>
    <t>10.8.100.7</t>
  </si>
  <si>
    <t>10.8.107.5</t>
  </si>
  <si>
    <t>10.8.120.10</t>
  </si>
  <si>
    <t>SWITCH3</t>
  </si>
  <si>
    <t>10.8.120.11</t>
  </si>
  <si>
    <t>SWITCH4</t>
  </si>
  <si>
    <t>10.8.120.12</t>
  </si>
  <si>
    <t>SWITCH5</t>
  </si>
  <si>
    <t>10.8.120.30</t>
  </si>
  <si>
    <t>SWITCH6</t>
  </si>
  <si>
    <t>10.8.120.31</t>
  </si>
  <si>
    <t>SWITCH7</t>
  </si>
  <si>
    <t>10.8.120.32</t>
  </si>
  <si>
    <t>SWITCH8</t>
  </si>
  <si>
    <t xml:space="preserve">10.8.120.34 </t>
  </si>
  <si>
    <t>SWITCH9</t>
  </si>
  <si>
    <t>10.8.120.35</t>
  </si>
  <si>
    <t>SWITCH10</t>
  </si>
  <si>
    <t>10.8.120.36</t>
  </si>
  <si>
    <t>SWITCH11</t>
  </si>
  <si>
    <t>10.8.120.37</t>
  </si>
  <si>
    <t>SWITCH12</t>
  </si>
  <si>
    <t>10.8.120.38</t>
  </si>
  <si>
    <t>SWITCH13</t>
  </si>
  <si>
    <t>10.8.120.40</t>
  </si>
  <si>
    <t>SWITCH14</t>
  </si>
  <si>
    <t>10.8.120.42</t>
  </si>
  <si>
    <t>SWITCH15</t>
  </si>
  <si>
    <t>10.8.120.43</t>
  </si>
  <si>
    <t>SWITCH16</t>
  </si>
  <si>
    <t>10.8.120.44</t>
  </si>
  <si>
    <t>SWITCH17</t>
  </si>
  <si>
    <t>10.8.120.45</t>
  </si>
  <si>
    <t>SWITCH18</t>
  </si>
  <si>
    <t>10.8.120.46</t>
  </si>
  <si>
    <t>SWITCH19</t>
  </si>
  <si>
    <t>10.8.120.50</t>
  </si>
  <si>
    <t>SWITCH20</t>
  </si>
  <si>
    <t>10.8.120.51</t>
  </si>
  <si>
    <t>SWITCH21</t>
  </si>
  <si>
    <t>10.8.120.52</t>
  </si>
  <si>
    <t>SWITCH22</t>
  </si>
  <si>
    <t>10.8.120.61</t>
  </si>
  <si>
    <t>SWITCH23</t>
  </si>
  <si>
    <t>10.8.120.62</t>
  </si>
  <si>
    <t>Contrato</t>
  </si>
  <si>
    <t>Modem 4G - Operadora - N° - Dados</t>
  </si>
  <si>
    <t>Modem 4G</t>
  </si>
  <si>
    <t>Pacote</t>
  </si>
  <si>
    <t>IP Loja</t>
  </si>
  <si>
    <t>IPs novos Lojas 129</t>
  </si>
  <si>
    <t>Custo Total de Links</t>
  </si>
  <si>
    <t>Legenda</t>
  </si>
  <si>
    <t>Informação 100% atualizada</t>
  </si>
  <si>
    <t>2990930/2025</t>
  </si>
  <si>
    <t>PAE/IP/20114</t>
  </si>
  <si>
    <t>300Mb</t>
  </si>
  <si>
    <t>ADSL</t>
  </si>
  <si>
    <t>10.100.10.18</t>
  </si>
  <si>
    <t>10.8.64.0/24</t>
  </si>
  <si>
    <t>FGT40FTK2109APML</t>
  </si>
  <si>
    <t>Falta alguma informação</t>
  </si>
  <si>
    <t>1894042673/25</t>
  </si>
  <si>
    <t>Semidedicado</t>
  </si>
  <si>
    <t>300MB</t>
  </si>
  <si>
    <t>10.100.10.19</t>
  </si>
  <si>
    <t>129.43.0.0/16</t>
  </si>
  <si>
    <t>10.8.43.0/24</t>
  </si>
  <si>
    <t>FGT40FTK2109A26A</t>
  </si>
  <si>
    <t>Informação antiga, sendo atualizada</t>
  </si>
  <si>
    <t>CGE/IP/01396</t>
  </si>
  <si>
    <t>4116228/2025</t>
  </si>
  <si>
    <t>CGE-817KBYYNOT-013</t>
  </si>
  <si>
    <t>600Mb</t>
  </si>
  <si>
    <t xml:space="preserve">  4G-LAN3-VIVO-11995086262 - 30Gb</t>
  </si>
  <si>
    <t>4G-LAN3</t>
  </si>
  <si>
    <t>(11)9 9508-6262</t>
  </si>
  <si>
    <t>30Gb</t>
  </si>
  <si>
    <t>10.100.10.20</t>
  </si>
  <si>
    <t>10.3.7.0/24</t>
  </si>
  <si>
    <t>FGT40FTK21061990</t>
  </si>
  <si>
    <t>TSA/IP/06690</t>
  </si>
  <si>
    <t>899925644320</t>
  </si>
  <si>
    <t>TSA-817GX9NCMF-013</t>
  </si>
  <si>
    <t>700Mb</t>
  </si>
  <si>
    <t>10.100.10.21</t>
  </si>
  <si>
    <t>10.3.8.0/24</t>
  </si>
  <si>
    <t>FGT40FTK21055522</t>
  </si>
  <si>
    <t>São Luis</t>
  </si>
  <si>
    <t>MASLS1000004067</t>
  </si>
  <si>
    <t>ZZ45726013004</t>
  </si>
  <si>
    <t xml:space="preserve"> LOJA 120 - São Luis - MA</t>
  </si>
  <si>
    <t>15Mb</t>
  </si>
  <si>
    <t>4G-LAN3-CLARO-11993921432-30GB</t>
  </si>
  <si>
    <t>(11) 99392-1432</t>
  </si>
  <si>
    <t>10.100.10.6</t>
  </si>
  <si>
    <t>10.3.12.0/24</t>
  </si>
  <si>
    <t>FGT40FTK21015404</t>
  </si>
  <si>
    <t>AJU/IP/08189</t>
  </si>
  <si>
    <t>AJU-817JD8OCP9-013</t>
  </si>
  <si>
    <t>10.100.10.13</t>
  </si>
  <si>
    <t>10.3.13.0/24</t>
  </si>
  <si>
    <t>FGT40FTK2109A6UB</t>
  </si>
  <si>
    <t>FNS/IP/02758</t>
  </si>
  <si>
    <t>470000221281490</t>
  </si>
  <si>
    <t>10.100.10.14</t>
  </si>
  <si>
    <t>129.130.0.0/16</t>
  </si>
  <si>
    <t>10.8.130.0/24</t>
  </si>
  <si>
    <t>FGT40FTK2109BRC2</t>
  </si>
  <si>
    <t>SPO/IP/96194</t>
  </si>
  <si>
    <t>INTERLAGOS</t>
  </si>
  <si>
    <t>10.100.10.15</t>
  </si>
  <si>
    <t>10.7.16.0/24</t>
  </si>
  <si>
    <t>FGT40FTK21019934</t>
  </si>
  <si>
    <t>23352741/2025</t>
  </si>
  <si>
    <t>2990848/2025</t>
  </si>
  <si>
    <t>JVE/IP/02608</t>
  </si>
  <si>
    <t>10.100.10.16</t>
  </si>
  <si>
    <t>10.8.10.0/24</t>
  </si>
  <si>
    <t>FGT40FTK22069539</t>
  </si>
  <si>
    <t>10.100.10.24</t>
  </si>
  <si>
    <t>129.136.0.0/16</t>
  </si>
  <si>
    <t>10.8.136.0/24</t>
  </si>
  <si>
    <t>FGT40FTK2109A0DP</t>
  </si>
  <si>
    <t>PEPTA1000000702</t>
  </si>
  <si>
    <t>VES-2-VAR-2853534-2025</t>
  </si>
  <si>
    <t>PTA/IP/01059</t>
  </si>
  <si>
    <t>10.100.10.9</t>
  </si>
  <si>
    <t>10.3.15.0/24</t>
  </si>
  <si>
    <t>FGT40FTK21052450</t>
  </si>
  <si>
    <t xml:space="preserve"> 4G-USB-VERO-11951857351-30Gb</t>
  </si>
  <si>
    <t>4G-USB</t>
  </si>
  <si>
    <t>(11) 95185-7351</t>
  </si>
  <si>
    <t>10.100.10.26</t>
  </si>
  <si>
    <t>10.3.16.0/24</t>
  </si>
  <si>
    <t>FGT40FTK2109A2NP</t>
  </si>
  <si>
    <t>BSA/IP/25593</t>
  </si>
  <si>
    <t>/2026</t>
  </si>
  <si>
    <t>ZZ45726037004A</t>
  </si>
  <si>
    <t>10.100.10.28</t>
  </si>
  <si>
    <t>10.8.67.0/24</t>
  </si>
  <si>
    <t>FGT40FTK2109AP42</t>
  </si>
  <si>
    <t>TSA/IP/06654</t>
  </si>
  <si>
    <t>10.100.10.22</t>
  </si>
  <si>
    <t>10.3.20.0/24</t>
  </si>
  <si>
    <t>FGT40FTK21064157</t>
  </si>
  <si>
    <t>10.100.10.23</t>
  </si>
  <si>
    <t>10.7.165.0/24</t>
  </si>
  <si>
    <t>FGT40FTK2109A0E2</t>
  </si>
  <si>
    <t>10.100.10.25</t>
  </si>
  <si>
    <t>129.176.0.0/16</t>
  </si>
  <si>
    <t>10.8.176.0/24</t>
  </si>
  <si>
    <t>FGT40FTK22068681</t>
  </si>
  <si>
    <t>ACG/IP/01186</t>
  </si>
  <si>
    <t>10.100.10.10</t>
  </si>
  <si>
    <t>129.178.0.0/16</t>
  </si>
  <si>
    <t>10.8.178.0/24</t>
  </si>
  <si>
    <t>FGT40FTK22099US0</t>
  </si>
  <si>
    <t>AF798013 FAS125A</t>
  </si>
  <si>
    <t>PGE/IP/00250</t>
  </si>
  <si>
    <t>10.100.10.31</t>
  </si>
  <si>
    <t>10.7.180.0/24</t>
  </si>
  <si>
    <t>FGT40FTK21020072</t>
  </si>
  <si>
    <t>JPA/IP/06759</t>
  </si>
  <si>
    <t>196JoaoPessoa</t>
  </si>
  <si>
    <t>4G-USB-VERO-11935367628-30Gb</t>
  </si>
  <si>
    <t>(11)93536-7628</t>
  </si>
  <si>
    <t>10.100.10.32</t>
  </si>
  <si>
    <t>10.3.27.0/24</t>
  </si>
  <si>
    <t>FGT40FTK2109A26R</t>
  </si>
  <si>
    <t>BSA/IP/25646</t>
  </si>
  <si>
    <t>10.100.10.33</t>
  </si>
  <si>
    <t>10.8.18.0/24</t>
  </si>
  <si>
    <t>FGT40FTK2109A2VF</t>
  </si>
  <si>
    <t>SPO/IP/95878</t>
  </si>
  <si>
    <t>vencido</t>
  </si>
  <si>
    <t>LOJA 510 - PORTA DE DADOS 3</t>
  </si>
  <si>
    <t>10.100.10.5</t>
  </si>
  <si>
    <t>10.7.32.0/24</t>
  </si>
  <si>
    <t>FGT40FTK22067149</t>
  </si>
  <si>
    <t xml:space="preserve">MPA/IP/01147 </t>
  </si>
  <si>
    <t>MPA-817GY6VGBV-013</t>
  </si>
  <si>
    <t xml:space="preserve"> 4G-USB-VERO-11935367619-30Gb</t>
  </si>
  <si>
    <t>(11)93536-7619</t>
  </si>
  <si>
    <t>10.100.10.35</t>
  </si>
  <si>
    <t>10.3.30.0/24</t>
  </si>
  <si>
    <t>FGT40FTK22075179</t>
  </si>
  <si>
    <t>10.100.10.36</t>
  </si>
  <si>
    <t>10.7.34.0/24</t>
  </si>
  <si>
    <t>FGT40FTK21021823</t>
  </si>
  <si>
    <t>RBO/IP/01554</t>
  </si>
  <si>
    <t>ACRBO1000001730</t>
  </si>
  <si>
    <t>Gb</t>
  </si>
  <si>
    <t>10.100.10.11</t>
  </si>
  <si>
    <t>129.213.0.0/16</t>
  </si>
  <si>
    <t>10.5.17.0/24</t>
  </si>
  <si>
    <t>FGT40FTK22075919</t>
  </si>
  <si>
    <t>DDA/IP/02269</t>
  </si>
  <si>
    <t>10.100.10.12</t>
  </si>
  <si>
    <t>10.7.118.0/24</t>
  </si>
  <si>
    <t>FGT40FTK21062013</t>
  </si>
  <si>
    <t>ROPVO1000002769</t>
  </si>
  <si>
    <t>PVO/IP/01686</t>
  </si>
  <si>
    <t>10.100.10.39</t>
  </si>
  <si>
    <t>129.215.0.0/16</t>
  </si>
  <si>
    <t>10.4.19.0/24</t>
  </si>
  <si>
    <t>FGT40FTK2109A9GE</t>
  </si>
  <si>
    <t>MAU/IP/02231</t>
  </si>
  <si>
    <t>10.100.10.37</t>
  </si>
  <si>
    <t>129.216.0.0/16</t>
  </si>
  <si>
    <t>10.6.20.0/24</t>
  </si>
  <si>
    <t>FGT40FTK2109A0AS</t>
  </si>
  <si>
    <t>AJU/IP/08194</t>
  </si>
  <si>
    <t>790000211865299</t>
  </si>
  <si>
    <t xml:space="preserve"> 4G-USB- VERO-11935367311-30Gb</t>
  </si>
  <si>
    <t>10.100.10.40</t>
  </si>
  <si>
    <t>10.3.32.0/24</t>
  </si>
  <si>
    <t>FGT40FTK2109A6YL</t>
  </si>
  <si>
    <t>10.100.10.41</t>
  </si>
  <si>
    <t>10.8.23.0/24</t>
  </si>
  <si>
    <t>FGT40FTK21010497</t>
  </si>
  <si>
    <t>FLA/IP/10878</t>
  </si>
  <si>
    <t>527Fortaleza</t>
  </si>
  <si>
    <t xml:space="preserve"> 4G-USB-CLARO-11913426333-30Gb</t>
  </si>
  <si>
    <t>(11)91342-6333</t>
  </si>
  <si>
    <t>10Gb</t>
  </si>
  <si>
    <t>10.100.10.42</t>
  </si>
  <si>
    <t>10.3.33.0/24</t>
  </si>
  <si>
    <t>FGT40FTK22071691</t>
  </si>
  <si>
    <t>SLE/IP/01230</t>
  </si>
  <si>
    <t>10.100.10.43</t>
  </si>
  <si>
    <t>129.225.0.0/16</t>
  </si>
  <si>
    <t>10.5.29.0/24</t>
  </si>
  <si>
    <t>FGT40FTK20006514</t>
  </si>
  <si>
    <t>BHE-817JQEA8OT-013</t>
  </si>
  <si>
    <t>10.100.10.251</t>
  </si>
  <si>
    <t>10.3.36.0/24</t>
  </si>
  <si>
    <t>FGT40FTK21061463</t>
  </si>
  <si>
    <t>AI055003 FAS004A</t>
  </si>
  <si>
    <t>2990930/2026</t>
  </si>
  <si>
    <t>JAI/IP/02770</t>
  </si>
  <si>
    <t>10.100.10.44</t>
  </si>
  <si>
    <t>129.230.0.0/16</t>
  </si>
  <si>
    <t>10.5.34.0/24</t>
  </si>
  <si>
    <t>FGT40FTK2109AQJJ</t>
  </si>
  <si>
    <t>SJP/IP/01447</t>
  </si>
  <si>
    <t>SJP817HG2IQL5-013</t>
  </si>
  <si>
    <t>10.100.10.45</t>
  </si>
  <si>
    <t>129.231.0.0/16</t>
  </si>
  <si>
    <t>10.5.35.0/24</t>
  </si>
  <si>
    <t>FGT40FTK21063262</t>
  </si>
  <si>
    <t>BHE/IP/18535</t>
  </si>
  <si>
    <t>10.100.10.46</t>
  </si>
  <si>
    <t>10.3.37.0/24</t>
  </si>
  <si>
    <t>FGT40FTK21015937</t>
  </si>
  <si>
    <t>10.100.10.48</t>
  </si>
  <si>
    <t>129.240.0.0/16</t>
  </si>
  <si>
    <t>10.5.44.0/24</t>
  </si>
  <si>
    <t>FGT40FTK21058963</t>
  </si>
  <si>
    <t>SBO/IP/06617</t>
  </si>
  <si>
    <t>4G-USB-VERO-11935052445-30GB</t>
  </si>
  <si>
    <t>10.100.10.49</t>
  </si>
  <si>
    <t>10.7.44.0/24</t>
  </si>
  <si>
    <t>FGT40FTK21020738</t>
  </si>
  <si>
    <t>ZZ45726037001A</t>
  </si>
  <si>
    <t>10.100.10.50</t>
  </si>
  <si>
    <t>10.7.45.0/24</t>
  </si>
  <si>
    <t>FGT40FTK21059064</t>
  </si>
  <si>
    <t>CTA/IP/20429</t>
  </si>
  <si>
    <t>CTA-817HG1NHZ1-013</t>
  </si>
  <si>
    <t>10.100.10.51</t>
  </si>
  <si>
    <t>129.76.0.0/16</t>
  </si>
  <si>
    <t>10.5.48.0/24</t>
  </si>
  <si>
    <t>FGT40FTK22068723</t>
  </si>
  <si>
    <t>RPO/IP/10333</t>
  </si>
  <si>
    <t>10.100.10.52</t>
  </si>
  <si>
    <t>10.7.149.0/24</t>
  </si>
  <si>
    <t>FGT40FTK21030190</t>
  </si>
  <si>
    <t>GRS/IP/03825</t>
  </si>
  <si>
    <t>600mb</t>
  </si>
  <si>
    <t>10.100.10.53</t>
  </si>
  <si>
    <t>10.7.150.0/24</t>
  </si>
  <si>
    <t>FGT40FTK21015267</t>
  </si>
  <si>
    <t>100MB</t>
  </si>
  <si>
    <t>NTL/IP/07477</t>
  </si>
  <si>
    <t>10.100.10.54</t>
  </si>
  <si>
    <t>10.3.42.0/24</t>
  </si>
  <si>
    <t>FGT40FTK22068125</t>
  </si>
  <si>
    <t>FIrewall trocado nessa data - FGT40FTK25033571 novo</t>
  </si>
  <si>
    <t>MNS/IP/06488</t>
  </si>
  <si>
    <t>MNS-817GWN21FB-013</t>
  </si>
  <si>
    <t>10.100.10.55</t>
  </si>
  <si>
    <t>10.3.46.0/24</t>
  </si>
  <si>
    <t>----</t>
  </si>
  <si>
    <t>FGT40FTK22068180</t>
  </si>
  <si>
    <t>OCO/IP/04810</t>
  </si>
  <si>
    <t>4G-LAN3-VERO-11 935036255-30GB</t>
  </si>
  <si>
    <t>(11) 935036255</t>
  </si>
  <si>
    <t>10.100.10.56</t>
  </si>
  <si>
    <t>10.7.159.0/24</t>
  </si>
  <si>
    <t>FGT40FTK2109A8VB</t>
  </si>
  <si>
    <t>instalado 4g devido link vero fora por cabo rompido</t>
  </si>
  <si>
    <t>BLM/IP/09398</t>
  </si>
  <si>
    <t>PABLM1000004792</t>
  </si>
  <si>
    <t>10.100.10.57</t>
  </si>
  <si>
    <t>10.3.47.0/24</t>
  </si>
  <si>
    <t>FGT40FTK22099MHN</t>
  </si>
  <si>
    <t>10.100.10.58</t>
  </si>
  <si>
    <t>10.7.50.0/24</t>
  </si>
  <si>
    <t>FGT40FTK21061688</t>
  </si>
  <si>
    <t>SPO/IP/96403</t>
  </si>
  <si>
    <t>10.100.10.59</t>
  </si>
  <si>
    <t>129.92.0.0/16</t>
  </si>
  <si>
    <t>10.5.64.0/24</t>
  </si>
  <si>
    <t>FGT40FTK22067557</t>
  </si>
  <si>
    <t>JBO/IP/03176</t>
  </si>
  <si>
    <t>10.100.10.60</t>
  </si>
  <si>
    <t>10.3.50.0/24</t>
  </si>
  <si>
    <t>FGT40FTK21049234</t>
  </si>
  <si>
    <t>MCO/IP/10344</t>
  </si>
  <si>
    <t>10.100.10.61</t>
  </si>
  <si>
    <t>10.3.51.0/24</t>
  </si>
  <si>
    <t>FGT40FTK22068276</t>
  </si>
  <si>
    <t>CHN/IP/00770</t>
  </si>
  <si>
    <t>ZZ45726037002</t>
  </si>
  <si>
    <t>LOJA 571 - Shopping do Vale - RS</t>
  </si>
  <si>
    <t>4G-USB-VVIVO-11995059068-10Gb</t>
  </si>
  <si>
    <t>(11)99505-9068</t>
  </si>
  <si>
    <t>10.100.10.62</t>
  </si>
  <si>
    <t>129.137.0.0/16</t>
  </si>
  <si>
    <t>10.5.71.0/24</t>
  </si>
  <si>
    <t>FGT40FTK20013140</t>
  </si>
  <si>
    <t>SNE/IP/03896</t>
  </si>
  <si>
    <t>10.100.10.63</t>
  </si>
  <si>
    <t>129.74.0.0/16</t>
  </si>
  <si>
    <t>10.5.73.0/24</t>
  </si>
  <si>
    <t>FGT40FTK2109A245</t>
  </si>
  <si>
    <t>ZZ45726037003</t>
  </si>
  <si>
    <t>LOJA 575 - Alcantara - RJ</t>
  </si>
  <si>
    <t>RJSGO1000000525</t>
  </si>
  <si>
    <t>400Mb</t>
  </si>
  <si>
    <t>10.100.10.64</t>
  </si>
  <si>
    <t>10.3.55.0/24</t>
  </si>
  <si>
    <t>FGT40FTK2109A2ME</t>
  </si>
  <si>
    <t>10.100.10.65</t>
  </si>
  <si>
    <t>10.7.56.0/24</t>
  </si>
  <si>
    <t>FGT40FTK21012311</t>
  </si>
  <si>
    <t>MCZ/IP/01667</t>
  </si>
  <si>
    <t>10.100.10.66</t>
  </si>
  <si>
    <t>129.33.0.0/16</t>
  </si>
  <si>
    <t>10.5.77.0/24</t>
  </si>
  <si>
    <t>FGT40FTK2109A0D9</t>
  </si>
  <si>
    <t>Vero, reajuste 05/2025</t>
  </si>
  <si>
    <t>TRO/IP/00448</t>
  </si>
  <si>
    <t>10.100.10.67</t>
  </si>
  <si>
    <t>10.8.30.0/24</t>
  </si>
  <si>
    <t>FGT40FTK21005799</t>
  </si>
  <si>
    <t>4G-LAN3-CLARO-11988247327-30Gb</t>
  </si>
  <si>
    <t>(11)98824-7327</t>
  </si>
  <si>
    <t>10.100.10.68</t>
  </si>
  <si>
    <t>10.7.179.0/24</t>
  </si>
  <si>
    <t>FGT40FTK2109A2MX</t>
  </si>
  <si>
    <t>instalado 4g devido falha nos dois links</t>
  </si>
  <si>
    <t>PAA/IP/03834</t>
  </si>
  <si>
    <t>PAA-817JDDTYE3-013</t>
  </si>
  <si>
    <t>10.100.10.69</t>
  </si>
  <si>
    <t>129.145.0.0/16</t>
  </si>
  <si>
    <t>10.5.80.0/24</t>
  </si>
  <si>
    <t>FGT40FTK21028599</t>
  </si>
  <si>
    <t>PAE/IP/20133</t>
  </si>
  <si>
    <t>PAE-817HE8TQM7-013</t>
  </si>
  <si>
    <t>700MB</t>
  </si>
  <si>
    <t>10.100.10.70</t>
  </si>
  <si>
    <t>10.8.31.0/24</t>
  </si>
  <si>
    <t>FGT40FTK21025762</t>
  </si>
  <si>
    <t>BHE/IP/18635</t>
  </si>
  <si>
    <t>600MB</t>
  </si>
  <si>
    <t xml:space="preserve"> 4G-USB-VERO-11935367622-30Gb</t>
  </si>
  <si>
    <t>(11) 93536-7622</t>
  </si>
  <si>
    <t>10.100.10.71</t>
  </si>
  <si>
    <t>10.3.56.0/24</t>
  </si>
  <si>
    <t>FGT40FTK21018667</t>
  </si>
  <si>
    <t>modem instalado na loja nessa data devido queda</t>
  </si>
  <si>
    <t>10.100.10.73</t>
  </si>
  <si>
    <t>129.114.0.0/16</t>
  </si>
  <si>
    <t>10.5.86.0/24</t>
  </si>
  <si>
    <t>FGT40FTK21014665</t>
  </si>
  <si>
    <t>- SPO-2019-1026</t>
  </si>
  <si>
    <t>MCO-817JDFHI2B-013</t>
  </si>
  <si>
    <t>10.100.10.17</t>
  </si>
  <si>
    <t>10.3.58.0/24</t>
  </si>
  <si>
    <t>FGT40FTK22067302</t>
  </si>
  <si>
    <t>CEM/IP/01832</t>
  </si>
  <si>
    <t>10.100.10.75</t>
  </si>
  <si>
    <t>10.3.59.0/24</t>
  </si>
  <si>
    <t>FGT40FTK21016063</t>
  </si>
  <si>
    <t>SCFNS1000004555</t>
  </si>
  <si>
    <t>FNS/IP/02139</t>
  </si>
  <si>
    <t>10.100.10.76</t>
  </si>
  <si>
    <t>10.8.34.0/24</t>
  </si>
  <si>
    <t>FGT40FTK22099CKB</t>
  </si>
  <si>
    <t>DOS/IP/01439</t>
  </si>
  <si>
    <t>DOS-817JDEPDAB-013</t>
  </si>
  <si>
    <t>10.100.10.78</t>
  </si>
  <si>
    <t>129.108.0.0/16</t>
  </si>
  <si>
    <t>10.5.98.0/24</t>
  </si>
  <si>
    <t>FGT40FTK20013280</t>
  </si>
  <si>
    <t>PGO/IP/00877</t>
  </si>
  <si>
    <t>PGO-817K1FNCR7-013</t>
  </si>
  <si>
    <t>10.100.10.79</t>
  </si>
  <si>
    <t>129.116.0.0/16</t>
  </si>
  <si>
    <t>10.5.99.0/24</t>
  </si>
  <si>
    <t>FGT40FTK2109A2AE</t>
  </si>
  <si>
    <t>SDR/IP/22841</t>
  </si>
  <si>
    <t>10.100.10.80</t>
  </si>
  <si>
    <t>10.3.63.0/24</t>
  </si>
  <si>
    <t>FGT40FTK22082057</t>
  </si>
  <si>
    <t>RCE/IP/21699</t>
  </si>
  <si>
    <t>4G-USB-VERO-11935055343-30Gb</t>
  </si>
  <si>
    <t>(11)93505-5343</t>
  </si>
  <si>
    <t>10.100.10.81</t>
  </si>
  <si>
    <t>10.3.64.0/24</t>
  </si>
  <si>
    <t>FGT40FTK21052531</t>
  </si>
  <si>
    <t>modem 4g  que era da loja 885 encerrada - Erika regional pegou emprestado com autorização do jeferson</t>
  </si>
  <si>
    <t>MGA/IP/01552</t>
  </si>
  <si>
    <t>10.100.10.84</t>
  </si>
  <si>
    <t>129.103.0.0/16</t>
  </si>
  <si>
    <t>10.6.5.0/24</t>
  </si>
  <si>
    <t>FGT40FTK2109AL2F</t>
  </si>
  <si>
    <t>IIG/IP/01637</t>
  </si>
  <si>
    <t>800Mb</t>
  </si>
  <si>
    <t>10.100.10.85</t>
  </si>
  <si>
    <t>10.3.67.0/24</t>
  </si>
  <si>
    <t>FGT40FTK22099Q44</t>
  </si>
  <si>
    <t>LRA/IP/03872</t>
  </si>
  <si>
    <t>10.100.10.86</t>
  </si>
  <si>
    <t>129.17.0.0/16</t>
  </si>
  <si>
    <t>10.6.7.0/24</t>
  </si>
  <si>
    <t>FGT40FTK22068540</t>
  </si>
  <si>
    <t>TTE/IP/01540</t>
  </si>
  <si>
    <t>10.100.10.87</t>
  </si>
  <si>
    <t>129.20.0.0/16</t>
  </si>
  <si>
    <t>10.6.8.0/24</t>
  </si>
  <si>
    <t>FGT40FTK2109A949</t>
  </si>
  <si>
    <t>CGE/IP/01110</t>
  </si>
  <si>
    <t>830400221284992</t>
  </si>
  <si>
    <t>10.100.10.88</t>
  </si>
  <si>
    <t>10.3.68.0/24</t>
  </si>
  <si>
    <t>FGT40FTK2109A3MH</t>
  </si>
  <si>
    <t>SPO/IP/96904</t>
  </si>
  <si>
    <t>10.100.10.89</t>
  </si>
  <si>
    <t>129.81.0.0/16</t>
  </si>
  <si>
    <t>10.6.13.0/24</t>
  </si>
  <si>
    <t>FGT40FTK22066659</t>
  </si>
  <si>
    <t>GNA/IP/07167</t>
  </si>
  <si>
    <t>10.100.10.90</t>
  </si>
  <si>
    <t>129.105.0.0/16</t>
  </si>
  <si>
    <t>10.6.17.0/24</t>
  </si>
  <si>
    <t>FGT40FTK2109A2FG</t>
  </si>
  <si>
    <t>ITB/IP/02780</t>
  </si>
  <si>
    <t>BAITB1000001051</t>
  </si>
  <si>
    <t xml:space="preserve"> 4G-USB-VERO-11935032530-30Gb</t>
  </si>
  <si>
    <t>(11)93503-2530</t>
  </si>
  <si>
    <t>10.100.10.91</t>
  </si>
  <si>
    <t>10.3.69.0/24</t>
  </si>
  <si>
    <t>FGT40FTK2109A5EY</t>
  </si>
  <si>
    <t>GRS/IP/07395</t>
  </si>
  <si>
    <t>10.100.10.92</t>
  </si>
  <si>
    <t>129.40.0.0/16</t>
  </si>
  <si>
    <t>10.6.19.0/24</t>
  </si>
  <si>
    <t>FGT40FTK22067066</t>
  </si>
  <si>
    <t>Termo 01</t>
  </si>
  <si>
    <t>9055_Dados</t>
  </si>
  <si>
    <t>10.100.10.93</t>
  </si>
  <si>
    <t>10.7.222.0/24</t>
  </si>
  <si>
    <t>FGT40FTK2109A2M8</t>
  </si>
  <si>
    <t>CRU/IP/03057</t>
  </si>
  <si>
    <t>WFT/AST</t>
  </si>
  <si>
    <t>Link - 623</t>
  </si>
  <si>
    <t>200MB</t>
  </si>
  <si>
    <t>10.100.10.94</t>
  </si>
  <si>
    <t>10.3.70.0/24</t>
  </si>
  <si>
    <t>FGT40FTK21054246</t>
  </si>
  <si>
    <t>SJC/IP/03632</t>
  </si>
  <si>
    <t>10.100.10.95</t>
  </si>
  <si>
    <t>10.7.70.0/24</t>
  </si>
  <si>
    <t>FGT40FTK2109A961</t>
  </si>
  <si>
    <t>CPE/IP/04724</t>
  </si>
  <si>
    <t>2194594</t>
  </si>
  <si>
    <t>10.100.10.96</t>
  </si>
  <si>
    <t>129.49.0.0/16</t>
  </si>
  <si>
    <t>10.6.25.0/24</t>
  </si>
  <si>
    <t>FGT40FTK21010061</t>
  </si>
  <si>
    <t>SPO/IP/97179</t>
  </si>
  <si>
    <t>10.100.10.246</t>
  </si>
  <si>
    <t>10.7.226.0/24</t>
  </si>
  <si>
    <t>FGT40FTK2109AAYB</t>
  </si>
  <si>
    <t>NTL/IP/06588</t>
  </si>
  <si>
    <t>840000211865996</t>
  </si>
  <si>
    <t>4G-LAN3-VIVO-11942025033-30gb</t>
  </si>
  <si>
    <t>(11) 94202-5033</t>
  </si>
  <si>
    <t>10.100.10.97</t>
  </si>
  <si>
    <t>10.3.71.0/24</t>
  </si>
  <si>
    <t>FGT40FTK2109A6G0</t>
  </si>
  <si>
    <t>SRR/IP/05055</t>
  </si>
  <si>
    <t>AF798013 FAS139</t>
  </si>
  <si>
    <t>LOJA 629 - Plaza Avenida Shop, - SP</t>
  </si>
  <si>
    <t>6MB</t>
  </si>
  <si>
    <t>4G-USB-VERO-11935055957-30Gb</t>
  </si>
  <si>
    <t>(11) 93505-5957</t>
  </si>
  <si>
    <t>10.100.10.98</t>
  </si>
  <si>
    <t>129.85.0.0/16</t>
  </si>
  <si>
    <t>10.6.29.0/24</t>
  </si>
  <si>
    <t>FGT40FTK22066690</t>
  </si>
  <si>
    <t>OCO/IP/04865</t>
  </si>
  <si>
    <t>10.100.10.7</t>
  </si>
  <si>
    <t>10.7.231.0/24</t>
  </si>
  <si>
    <t>FGT40FTK21018318</t>
  </si>
  <si>
    <t>CTA/IP/20466</t>
  </si>
  <si>
    <t>10.100.10.99</t>
  </si>
  <si>
    <t>129.62.0.0/16</t>
  </si>
  <si>
    <t>10.6.32.0/24</t>
  </si>
  <si>
    <t>FGT40FTK21005881</t>
  </si>
  <si>
    <t>PAE/IP/20106</t>
  </si>
  <si>
    <t>1859883/2014</t>
  </si>
  <si>
    <t>PAE 0847606</t>
  </si>
  <si>
    <t>4G-USB-VERO-11935364020-30Gb</t>
  </si>
  <si>
    <t>(11)93536-4020</t>
  </si>
  <si>
    <t>10.100.10.100</t>
  </si>
  <si>
    <t>129.109.0.0/16</t>
  </si>
  <si>
    <t>10.6.33.0/24</t>
  </si>
  <si>
    <t>FGT40FTK21004879</t>
  </si>
  <si>
    <t>BHE/IP/18636</t>
  </si>
  <si>
    <t xml:space="preserve">600Mb </t>
  </si>
  <si>
    <t>10.100.10.101</t>
  </si>
  <si>
    <t>10.3.74.0/24</t>
  </si>
  <si>
    <t>FGT40FTK21020336</t>
  </si>
  <si>
    <t>MIA/IP/02460</t>
  </si>
  <si>
    <t>AF798013 FAS137</t>
  </si>
  <si>
    <t>LOJA 636 - Marília Shop, - SP</t>
  </si>
  <si>
    <t>10.100.10.102</t>
  </si>
  <si>
    <t>129.67.0.0/16</t>
  </si>
  <si>
    <t>10.6.36.0/24</t>
  </si>
  <si>
    <t>FGT40FTK2109A3VX</t>
  </si>
  <si>
    <t>CAO/IP/01386</t>
  </si>
  <si>
    <t>CAO-817K0Y3URB-013</t>
  </si>
  <si>
    <t>10.100.10.103</t>
  </si>
  <si>
    <t>10.7.239.0/24</t>
  </si>
  <si>
    <t>FGT40FTK22080332</t>
  </si>
  <si>
    <t>10.100.10.104</t>
  </si>
  <si>
    <t>129.118.0.0/16</t>
  </si>
  <si>
    <t>10.6.40.0/24</t>
  </si>
  <si>
    <t>FGT40FTK21017488</t>
  </si>
  <si>
    <t>links atualizado nessa data</t>
  </si>
  <si>
    <t>FAV/IP/01283</t>
  </si>
  <si>
    <t>10.100.10.4</t>
  </si>
  <si>
    <t>129.121.0.0/16</t>
  </si>
  <si>
    <t>10.6.41.0/24</t>
  </si>
  <si>
    <t>FGT40FTK2209A0JL</t>
  </si>
  <si>
    <t>GTA/IP/00439</t>
  </si>
  <si>
    <t>GTA-817JDZJJ4L-013</t>
  </si>
  <si>
    <t>10.100.10.105</t>
  </si>
  <si>
    <t>129.122.0.0/16</t>
  </si>
  <si>
    <t>10.6.42.0/24</t>
  </si>
  <si>
    <t>FGT40FTK2109A9D2</t>
  </si>
  <si>
    <t>JPA/IP/07596</t>
  </si>
  <si>
    <t xml:space="preserve"> 4G-USB-VIVO-11950502054-30Gb</t>
  </si>
  <si>
    <t>(11) 95050-2054</t>
  </si>
  <si>
    <t>10.100.10.106</t>
  </si>
  <si>
    <t>10.3.75.0/24</t>
  </si>
  <si>
    <t>FGT40FTK21059191</t>
  </si>
  <si>
    <t>JCI/IP/01038</t>
  </si>
  <si>
    <t>10.100.10.107</t>
  </si>
  <si>
    <t>129.149.0.0/16</t>
  </si>
  <si>
    <t>10.6.45.0/24</t>
  </si>
  <si>
    <t>FGT40FTK21014295</t>
  </si>
  <si>
    <t>SDR/IP/31403</t>
  </si>
  <si>
    <t>LJ646SHBAHIA</t>
  </si>
  <si>
    <t>4G-LAN3-VERO-11935055342-30Gb</t>
  </si>
  <si>
    <t>(11)93505-5342</t>
  </si>
  <si>
    <t>10.100.10.108</t>
  </si>
  <si>
    <t>10.3.77.0/24</t>
  </si>
  <si>
    <t>FGT40FTK2109A40P</t>
  </si>
  <si>
    <t>GJA/IP/02131</t>
  </si>
  <si>
    <t>GJA-8179JSR3LD-013</t>
  </si>
  <si>
    <t>500MB</t>
  </si>
  <si>
    <t>10.100.10.109</t>
  </si>
  <si>
    <t>129.155.0.0/16</t>
  </si>
  <si>
    <t>10.6.47.0/24</t>
  </si>
  <si>
    <t>FGT40FTK22081904</t>
  </si>
  <si>
    <t>VES-2-VAR-00089-2010</t>
  </si>
  <si>
    <t>TBS/IP/01508</t>
  </si>
  <si>
    <t>10.100.10.110</t>
  </si>
  <si>
    <t>129.158.0.0/16</t>
  </si>
  <si>
    <t>10.6.48.0/24</t>
  </si>
  <si>
    <t>FGT40FTK2109AFQV</t>
  </si>
  <si>
    <t>CTA/IP/23665</t>
  </si>
  <si>
    <t>AI055003 FAS038</t>
  </si>
  <si>
    <t>LOJA 649 - Palladium Shop, Center - PR</t>
  </si>
  <si>
    <t>30Mb</t>
  </si>
  <si>
    <t>4G-LAN3-CLARO-11988247332-20Gb</t>
  </si>
  <si>
    <t>(11) 98824-7332</t>
  </si>
  <si>
    <t>Golden Jumper</t>
  </si>
  <si>
    <t>10.100.10.111</t>
  </si>
  <si>
    <t>129.161.0.0/16</t>
  </si>
  <si>
    <t>10.6.49.0/24</t>
  </si>
  <si>
    <t>FGT40FTK21059823</t>
  </si>
  <si>
    <t>Goldem Jumper pago para o shopping</t>
  </si>
  <si>
    <t xml:space="preserve">BLM/IP/09410 </t>
  </si>
  <si>
    <t>PABLM1000004793</t>
  </si>
  <si>
    <t xml:space="preserve"> 4G-USB-VIVO-11942876965-20Gb</t>
  </si>
  <si>
    <t>(11)94287-6965</t>
  </si>
  <si>
    <t>20Gb</t>
  </si>
  <si>
    <t>10.100.10.112</t>
  </si>
  <si>
    <t>10.3.91.0/24</t>
  </si>
  <si>
    <t>FGT40FTK22099VM2</t>
  </si>
  <si>
    <t>Loja base com kit (switch, antena e firewall)</t>
  </si>
  <si>
    <t>BSA/IP/28003</t>
  </si>
  <si>
    <t>PPOE: spin18_marisa - Senha: HBQPGEDL</t>
  </si>
  <si>
    <t>Loja 651</t>
  </si>
  <si>
    <t>10.100.10.113</t>
  </si>
  <si>
    <t>129.166.0.0/16</t>
  </si>
  <si>
    <t>10.6.51.0/24</t>
  </si>
  <si>
    <t>FGT40FTK2209C5UU</t>
  </si>
  <si>
    <t>MCL/IP/04847</t>
  </si>
  <si>
    <t>MCL-817JQSS211-013</t>
  </si>
  <si>
    <t>10.100.10.114</t>
  </si>
  <si>
    <t>10.3.78.0/24</t>
  </si>
  <si>
    <t>FGT40FTK21059836</t>
  </si>
  <si>
    <t>Vivo = Dados + monitora dados</t>
  </si>
  <si>
    <t>FLA/IP/10910</t>
  </si>
  <si>
    <t>CEFLA1000011892</t>
  </si>
  <si>
    <t>10.100.10.243</t>
  </si>
  <si>
    <t>10.3.79.0/24</t>
  </si>
  <si>
    <t>FGT40FTK22073462</t>
  </si>
  <si>
    <t>SPO/IP/97381</t>
  </si>
  <si>
    <t>10.100.10.116</t>
  </si>
  <si>
    <t>10.7.156.0/24</t>
  </si>
  <si>
    <t>FGT40FTK22062246</t>
  </si>
  <si>
    <t>BLM/IP/09409</t>
  </si>
  <si>
    <t>BLM-817KC10UXJ-013</t>
  </si>
  <si>
    <t>4G-LAN3-VIVO-81981908266-30Gb</t>
  </si>
  <si>
    <t>(81)9 8190-8266</t>
  </si>
  <si>
    <t>100Gb</t>
  </si>
  <si>
    <t>4G-LAN3-Claro-11976488725-30GB</t>
  </si>
  <si>
    <t>10.100.10.118</t>
  </si>
  <si>
    <t>10.3.93.0/24</t>
  </si>
  <si>
    <t>FGT40FTK22099ARA</t>
  </si>
  <si>
    <t>Loja com 4G guardado além do terceiro link - 4G-LAN3-Claro-11976488725-30GB</t>
  </si>
  <si>
    <t>PVO/IP/02492</t>
  </si>
  <si>
    <t>ROPVO1000002723</t>
  </si>
  <si>
    <t>4G-USB-VIVO-11997597661-100Gb</t>
  </si>
  <si>
    <t>(11)99759-7661</t>
  </si>
  <si>
    <t>104,05</t>
  </si>
  <si>
    <t>10.100.10.119</t>
  </si>
  <si>
    <t>10.8.46.0/24</t>
  </si>
  <si>
    <t>FGT40FTK2109A6FF</t>
  </si>
  <si>
    <t>MCO/IP/10345</t>
  </si>
  <si>
    <t>820000212041592</t>
  </si>
  <si>
    <t>10.100.10.120</t>
  </si>
  <si>
    <t>10.3.90.0/24</t>
  </si>
  <si>
    <t>FGT40FTK22068498</t>
  </si>
  <si>
    <t>10.100.10.2</t>
  </si>
  <si>
    <t>10.7.85.0/24</t>
  </si>
  <si>
    <t>FGT40FTK22068683</t>
  </si>
  <si>
    <t xml:space="preserve">MNS/IP/06485 </t>
  </si>
  <si>
    <t>10.100.10.121</t>
  </si>
  <si>
    <t>10.3.81.0/24</t>
  </si>
  <si>
    <t>FGT40FTK2109A1Z0</t>
  </si>
  <si>
    <t>CCO/IP/00769</t>
  </si>
  <si>
    <t>CCO-817GVMB9IN-013</t>
  </si>
  <si>
    <t>10.100.10.122</t>
  </si>
  <si>
    <t>129.220.0.0/16</t>
  </si>
  <si>
    <t>10.6.64.0/24</t>
  </si>
  <si>
    <t>FGT40FTK22099WS7</t>
  </si>
  <si>
    <t>IAQ/IP/01627</t>
  </si>
  <si>
    <t>A077474100014</t>
  </si>
  <si>
    <t>10.100.10.123</t>
  </si>
  <si>
    <t>129.221.0.0/16</t>
  </si>
  <si>
    <t>10.6.65.0/24</t>
  </si>
  <si>
    <t>FGT40FTK2109A088</t>
  </si>
  <si>
    <t>PMS-817JQTI4GD-013</t>
  </si>
  <si>
    <t>10.100.10.124</t>
  </si>
  <si>
    <t>10.3.82.0/24</t>
  </si>
  <si>
    <t>FGT40FTK22075536</t>
  </si>
  <si>
    <t>RDV/IP/01171</t>
  </si>
  <si>
    <t>10.100.10.125</t>
  </si>
  <si>
    <t>129.238.0.0/16</t>
  </si>
  <si>
    <t>10.6.71.0/24</t>
  </si>
  <si>
    <t>FGT40FTK21018202</t>
  </si>
  <si>
    <t>PPE/IP/01586</t>
  </si>
  <si>
    <t>A077474100017</t>
  </si>
  <si>
    <t>10.100.10.126</t>
  </si>
  <si>
    <t>129.239.0.0/16</t>
  </si>
  <si>
    <t>10.6.72.0/24</t>
  </si>
  <si>
    <t>FGT40FTK22099MA4</t>
  </si>
  <si>
    <t>BRU/IP/04952</t>
  </si>
  <si>
    <t>10.100.10.127</t>
  </si>
  <si>
    <t>10.8.174.0/24</t>
  </si>
  <si>
    <t>FGT40FTK2109A9MT</t>
  </si>
  <si>
    <t>PAS/IP/01261</t>
  </si>
  <si>
    <t>5MB</t>
  </si>
  <si>
    <t>10.100.10.129</t>
  </si>
  <si>
    <t>129.247.0.0/16</t>
  </si>
  <si>
    <t>10.6.76.0/24</t>
  </si>
  <si>
    <t>FGT40FTK22099DJS</t>
  </si>
  <si>
    <t>SLS/IP/07944</t>
  </si>
  <si>
    <t>MASLS1000004032</t>
  </si>
  <si>
    <t>4G-LAN3-VERO-1135055113-30gb</t>
  </si>
  <si>
    <t>(11)93505-5113</t>
  </si>
  <si>
    <t>10.100.10.130</t>
  </si>
  <si>
    <t>10.3.87.0/24</t>
  </si>
  <si>
    <t>FGT40FTK21060521</t>
  </si>
  <si>
    <t>VPIO/IP/00334</t>
  </si>
  <si>
    <t xml:space="preserve">1923201 
</t>
  </si>
  <si>
    <t>10.100.10.131</t>
  </si>
  <si>
    <t>10.8.52.0/24</t>
  </si>
  <si>
    <t>FGT40FTK2109A2TU</t>
  </si>
  <si>
    <t>AF798013 FAS061</t>
  </si>
  <si>
    <t>LOJA 679 - Imperatriz - MA</t>
  </si>
  <si>
    <t>15MB</t>
  </si>
  <si>
    <t>ITZ-817GUZ7S63-013</t>
  </si>
  <si>
    <t>4G-USB-VERO-11935000468-30Gb</t>
  </si>
  <si>
    <t>(11)93500-0468</t>
  </si>
  <si>
    <t>10.100.10.132</t>
  </si>
  <si>
    <t>10.3.84.0/24</t>
  </si>
  <si>
    <t>FGT40FTK21060284</t>
  </si>
  <si>
    <t>GNA/IP/05102</t>
  </si>
  <si>
    <t>GOGNA1000008609</t>
  </si>
  <si>
    <t>10.100.10.133</t>
  </si>
  <si>
    <t>129.250.0.0/16</t>
  </si>
  <si>
    <t>10.6.80.0/24</t>
  </si>
  <si>
    <t>FGT40FTK22099LWF</t>
  </si>
  <si>
    <t>PMJ/IP/01709</t>
  </si>
  <si>
    <t>10.100.10.134</t>
  </si>
  <si>
    <t>10.6.88.0/24</t>
  </si>
  <si>
    <t>FGT40FTK21087980</t>
  </si>
  <si>
    <t>STB/IP/01400</t>
  </si>
  <si>
    <t>STB-817GWO3T33-013</t>
  </si>
  <si>
    <t>10.100.10.135</t>
  </si>
  <si>
    <t>129.252.0.0/16</t>
  </si>
  <si>
    <t>10.6.82.0/24</t>
  </si>
  <si>
    <t>FGT40FTK21017877</t>
  </si>
  <si>
    <t>Loja OK</t>
  </si>
  <si>
    <t>BSA/IP/25765</t>
  </si>
  <si>
    <t>10.100.10.136</t>
  </si>
  <si>
    <t>129.59.0.0/16</t>
  </si>
  <si>
    <t>10.6.84.0/24</t>
  </si>
  <si>
    <t>FGT40FTK2109A2EL</t>
  </si>
  <si>
    <t>SLA/IP/02472</t>
  </si>
  <si>
    <t>10.100.10.137</t>
  </si>
  <si>
    <t>10.6.97.0/24</t>
  </si>
  <si>
    <t>FGT40FTK22068239</t>
  </si>
  <si>
    <t>10.100.10.138</t>
  </si>
  <si>
    <t>10.8.87.0/24</t>
  </si>
  <si>
    <t>FGT40FTK2109AP7N</t>
  </si>
  <si>
    <t>ULA/IP/04798</t>
  </si>
  <si>
    <t>10.100.10.139</t>
  </si>
  <si>
    <t>10.3.89.0/24</t>
  </si>
  <si>
    <t>FGT40FTK2109APKN</t>
  </si>
  <si>
    <t>CPE/IP/05332</t>
  </si>
  <si>
    <t>10.100.10.140</t>
  </si>
  <si>
    <t>10.6.108.0/24</t>
  </si>
  <si>
    <t>FGT40FTK21028244</t>
  </si>
  <si>
    <t>SPO/IP/97503</t>
  </si>
  <si>
    <t>10.100.10.3</t>
  </si>
  <si>
    <t>10.8.189.0/24</t>
  </si>
  <si>
    <t>FGT40FTK22062717</t>
  </si>
  <si>
    <t>PAC/IP/00476</t>
  </si>
  <si>
    <t>10.100.10.141</t>
  </si>
  <si>
    <t>129.83.0.0/16</t>
  </si>
  <si>
    <t>10.6.96.0/24</t>
  </si>
  <si>
    <t>FGT40FTK21027040</t>
  </si>
  <si>
    <t>IGA/IP/00347</t>
  </si>
  <si>
    <t>10.100.10.142</t>
  </si>
  <si>
    <t>129.181.0.0/16</t>
  </si>
  <si>
    <t>10.6.98.0/24</t>
  </si>
  <si>
    <t>FGT40FTK2109A2BS</t>
  </si>
  <si>
    <t>SMA/IP/00810</t>
  </si>
  <si>
    <t>512750218927796</t>
  </si>
  <si>
    <t>10.100.10.143</t>
  </si>
  <si>
    <t>129.99.0.0/16</t>
  </si>
  <si>
    <t>10.6.99.0/24</t>
  </si>
  <si>
    <t>FGT40FTK21018940</t>
  </si>
  <si>
    <t>SPO/IP/95908</t>
  </si>
  <si>
    <t>110003284423095</t>
  </si>
  <si>
    <t>4G-LAN3-VIVO-11964955549-30Gb</t>
  </si>
  <si>
    <t>5GB</t>
  </si>
  <si>
    <t>10.100.10.144</t>
  </si>
  <si>
    <t>10.7.200.0/24</t>
  </si>
  <si>
    <t>FGT40FTK22068291</t>
  </si>
  <si>
    <t>Loja com 4G-ELsys na porta 3 do firewall</t>
  </si>
  <si>
    <t>PABLM1000004791</t>
  </si>
  <si>
    <t>BLM/IP/10994</t>
  </si>
  <si>
    <t>10.100.10.145</t>
  </si>
  <si>
    <t>10.6.144.0/24</t>
  </si>
  <si>
    <t>FGT40FTK21020087</t>
  </si>
  <si>
    <t>IDU/IP/01397</t>
  </si>
  <si>
    <t>A077474100023</t>
  </si>
  <si>
    <t>10.100.10.146</t>
  </si>
  <si>
    <t>129.79.0.0/16</t>
  </si>
  <si>
    <t>10.7.11.0/24</t>
  </si>
  <si>
    <t>FGT40FTK19004157</t>
  </si>
  <si>
    <t>CAN/IP/01943</t>
  </si>
  <si>
    <t>10.100.10.147</t>
  </si>
  <si>
    <t>10.4.59.0/24</t>
  </si>
  <si>
    <t>FGT40FTK21009278</t>
  </si>
  <si>
    <t>- SPO-2019-1026 PPPOE Usuario : 09313070
Senha: 12345678</t>
  </si>
  <si>
    <t>IAI/IP/01600</t>
  </si>
  <si>
    <t>10.100.10.148</t>
  </si>
  <si>
    <t>10.8.60.0/24</t>
  </si>
  <si>
    <t>FGT40FTK21063893</t>
  </si>
  <si>
    <t>CTD/IP/02228</t>
  </si>
  <si>
    <t>A077474100026</t>
  </si>
  <si>
    <t>10.100.10.149</t>
  </si>
  <si>
    <t>129.87.0.0/16</t>
  </si>
  <si>
    <t>10.7.17.0/24</t>
  </si>
  <si>
    <t>FGT40FTK21023822</t>
  </si>
  <si>
    <t>MRO/IP/01111</t>
  </si>
  <si>
    <t>MRO-817JDX1GYJ-013</t>
  </si>
  <si>
    <t>10.100.10.150</t>
  </si>
  <si>
    <t>10.6.102.0/24</t>
  </si>
  <si>
    <t>FGT40FTK2109A3H1</t>
  </si>
  <si>
    <t>BRS/IP/02179</t>
  </si>
  <si>
    <t>AF798013 FAS042</t>
  </si>
  <si>
    <t>LOJA 723 - North Shop, Barretos - SP</t>
  </si>
  <si>
    <t>4G-USB-VIVO-85981129542-20Gb</t>
  </si>
  <si>
    <t>(85)98112-9542</t>
  </si>
  <si>
    <t>2Gb</t>
  </si>
  <si>
    <t>19,21</t>
  </si>
  <si>
    <t>10.100.10.152</t>
  </si>
  <si>
    <t>129.152.0.0/16</t>
  </si>
  <si>
    <t>10.7.23.0/24</t>
  </si>
  <si>
    <t>FGT40FTK20060316</t>
  </si>
  <si>
    <t>BHE/IP/32239</t>
  </si>
  <si>
    <t>10.100.10.153</t>
  </si>
  <si>
    <t>10.6.105.0/24</t>
  </si>
  <si>
    <t>FGT40FTK22066187</t>
  </si>
  <si>
    <t>SPO/IP/95693</t>
  </si>
  <si>
    <t>A077474100030</t>
  </si>
  <si>
    <t>10.100.10.154</t>
  </si>
  <si>
    <t>129.77.0.0/16</t>
  </si>
  <si>
    <t>10.7.26.0/24</t>
  </si>
  <si>
    <t>FGT40FTK21017564</t>
  </si>
  <si>
    <t>SDR/IP/31331</t>
  </si>
  <si>
    <t>BASDR1000015010</t>
  </si>
  <si>
    <t>4G-USB-VERO-11935051629-30Gb</t>
  </si>
  <si>
    <t>10.100.10.155</t>
  </si>
  <si>
    <t>10.6.106.0/24</t>
  </si>
  <si>
    <t>FGT40FTK22065612</t>
  </si>
  <si>
    <t>PCS/IP/01170</t>
  </si>
  <si>
    <t>AF798013 FAS146</t>
  </si>
  <si>
    <t>LOJA 729 - Shop, Poços de Caldas - MG</t>
  </si>
  <si>
    <t>10.100.10.156</t>
  </si>
  <si>
    <t>10.7.96.0/24</t>
  </si>
  <si>
    <t>FGT40FTK22066944</t>
  </si>
  <si>
    <t>PAE/IP/20101</t>
  </si>
  <si>
    <t>AI055003 FAS033A</t>
  </si>
  <si>
    <t>10.100.10.157</t>
  </si>
  <si>
    <t>10.4.63.0/24</t>
  </si>
  <si>
    <t>FGT40FTK20013877</t>
  </si>
  <si>
    <t>SPO/IP/97549</t>
  </si>
  <si>
    <t>10.100.10.158</t>
  </si>
  <si>
    <t>129.89.0.0/16</t>
  </si>
  <si>
    <t>10.7.31.0/24</t>
  </si>
  <si>
    <t>FGT40FTK22043901</t>
  </si>
  <si>
    <t>PERCE1000013039</t>
  </si>
  <si>
    <t>RCE/IP/14202</t>
  </si>
  <si>
    <t>10.100.10.159</t>
  </si>
  <si>
    <t>10.6.115.0/24</t>
  </si>
  <si>
    <t>FGT40FTK21054012</t>
  </si>
  <si>
    <t>JFA/IP/11379</t>
  </si>
  <si>
    <t>JFA-817GWP942H-013</t>
  </si>
  <si>
    <t>10.100.10.160</t>
  </si>
  <si>
    <t>10.6.112.0/24</t>
  </si>
  <si>
    <t>FGT40FTK2109AL6F</t>
  </si>
  <si>
    <t>VOS/IP/00481</t>
  </si>
  <si>
    <t>A082623430137</t>
  </si>
  <si>
    <t>10.100.10.162</t>
  </si>
  <si>
    <t>129.23.0.0/16</t>
  </si>
  <si>
    <t>10.7.37.0/24</t>
  </si>
  <si>
    <t>FGT40FTK21021081</t>
  </si>
  <si>
    <t>MNS 5399026</t>
  </si>
  <si>
    <t>MNS/IP/03597</t>
  </si>
  <si>
    <t>4G-USB-VERO-11935059872-30Gb</t>
  </si>
  <si>
    <t>(11)93505-9872</t>
  </si>
  <si>
    <t>10.100.10.163</t>
  </si>
  <si>
    <t>10.3.124.0/24</t>
  </si>
  <si>
    <t>FGT40FTK2109A2DW</t>
  </si>
  <si>
    <t>CCA/IP/02254</t>
  </si>
  <si>
    <t>CCA-817GX8FBTN-013</t>
  </si>
  <si>
    <t>10.100.10.164</t>
  </si>
  <si>
    <t>10.3.151.0/24</t>
  </si>
  <si>
    <t>FGT40FTK2109A2JG</t>
  </si>
  <si>
    <t>MCE/IP/03544</t>
  </si>
  <si>
    <t>10.100.10.165</t>
  </si>
  <si>
    <t>10.3.125.0/24</t>
  </si>
  <si>
    <t>FGT40FTK2109A42S</t>
  </si>
  <si>
    <t>PGE/IP/02415</t>
  </si>
  <si>
    <t>PGE-8179JU0M3R-013</t>
  </si>
  <si>
    <t>10.100.10.166</t>
  </si>
  <si>
    <t>10.7.147.0/24</t>
  </si>
  <si>
    <t>FGT40FTK22080985</t>
  </si>
  <si>
    <t>AI055003 FAS018A</t>
  </si>
  <si>
    <t>CLND-817JEGTRDI-013</t>
  </si>
  <si>
    <t>10.100.10.167</t>
  </si>
  <si>
    <t>10.8.71.0.24</t>
  </si>
  <si>
    <t>FGT40FTK2209BZKG</t>
  </si>
  <si>
    <t>BSA/IP/25698</t>
  </si>
  <si>
    <t>DFBSA1000014586</t>
  </si>
  <si>
    <t>10.100.10.168</t>
  </si>
  <si>
    <t>10.8.72.0/24</t>
  </si>
  <si>
    <t>FGT40FTK22075688</t>
  </si>
  <si>
    <t>SEA/IP/05191</t>
  </si>
  <si>
    <t>271990221279590</t>
  </si>
  <si>
    <t>10.100.10.170</t>
  </si>
  <si>
    <t>10.6.135.0/24</t>
  </si>
  <si>
    <t>FGT40FTK2109A259</t>
  </si>
  <si>
    <t>ZZ45726037005</t>
  </si>
  <si>
    <t>LOJA 756 - Duque de Caxias - RJ</t>
  </si>
  <si>
    <t>RJDQX1000001613</t>
  </si>
  <si>
    <t>10.100.10.171</t>
  </si>
  <si>
    <t>10.3.114.0/24</t>
  </si>
  <si>
    <t>FGT40FTK21063356</t>
  </si>
  <si>
    <t>AF798013 FAS073A</t>
  </si>
  <si>
    <t xml:space="preserve"> GNA/IP/05098</t>
  </si>
  <si>
    <t>10.100.10.74</t>
  </si>
  <si>
    <t>10.8.76.0/24</t>
  </si>
  <si>
    <t>FGT40FTK22008495</t>
  </si>
  <si>
    <t>ZZ33764007001A</t>
  </si>
  <si>
    <t>BRE/IP/26284</t>
  </si>
  <si>
    <t>10.100.10.173</t>
  </si>
  <si>
    <t>10.7.168.0/24</t>
  </si>
  <si>
    <t>FGT40FTK22099V4M</t>
  </si>
  <si>
    <t>POA/IP/00729</t>
  </si>
  <si>
    <t>POA-817JDUAQON-013</t>
  </si>
  <si>
    <t>10.100.10.174</t>
  </si>
  <si>
    <t>129.37.0.0/16</t>
  </si>
  <si>
    <t>10.8.70.0/24</t>
  </si>
  <si>
    <t>FGT40FTK2109A8VD</t>
  </si>
  <si>
    <t>DVL/IP/02360</t>
  </si>
  <si>
    <t>312480165924099</t>
  </si>
  <si>
    <t>10.100.10.175</t>
  </si>
  <si>
    <t>10.6.116.0/24</t>
  </si>
  <si>
    <t>FGT40FTK21061980</t>
  </si>
  <si>
    <t xml:space="preserve">SDR/IP/31875 </t>
  </si>
  <si>
    <t>10.100.10.176</t>
  </si>
  <si>
    <t>10.6.145.0/24</t>
  </si>
  <si>
    <t>FGT40FTK22068641</t>
  </si>
  <si>
    <t>LDA/IP/01757</t>
  </si>
  <si>
    <t>AF798013 FAS131</t>
  </si>
  <si>
    <t>LOJA 778 - Londrina Norte Shop, - PR</t>
  </si>
  <si>
    <t>10.100.10.177</t>
  </si>
  <si>
    <t>10.3.154.0/24</t>
  </si>
  <si>
    <t>FGT40FTK21049811</t>
  </si>
  <si>
    <t>BRE/IP/26170</t>
  </si>
  <si>
    <t>10.100.10.178</t>
  </si>
  <si>
    <t>129.115.0.0/16</t>
  </si>
  <si>
    <t>10.7.80.0/24</t>
  </si>
  <si>
    <t>FGT40FTK22099U6J</t>
  </si>
  <si>
    <t>SLS/IP/07855</t>
  </si>
  <si>
    <t>10.100.10.179</t>
  </si>
  <si>
    <t>10.6.136.0/24</t>
  </si>
  <si>
    <t>FGT40FTK21059354</t>
  </si>
  <si>
    <t>HORT/IP/01618</t>
  </si>
  <si>
    <t>AI055003 FAS042A</t>
  </si>
  <si>
    <t>10.100.10.180</t>
  </si>
  <si>
    <t>10.7.185.0/24</t>
  </si>
  <si>
    <t>FGT40FTK2109ARFQ</t>
  </si>
  <si>
    <t xml:space="preserve">CGT/IP/00631 </t>
  </si>
  <si>
    <t>123193888304094</t>
  </si>
  <si>
    <t>10.100.10.182</t>
  </si>
  <si>
    <t>129.61.0.0/16</t>
  </si>
  <si>
    <t>10.7.88.0/24</t>
  </si>
  <si>
    <t>FGT40FTK2109A9KM</t>
  </si>
  <si>
    <t>AF798013 FAS085A</t>
  </si>
  <si>
    <t>BGP-817GWU1KN3-013</t>
  </si>
  <si>
    <t>10.100.10.183</t>
  </si>
  <si>
    <t>129.219.0.0/16</t>
  </si>
  <si>
    <t>10.7.94.0/24</t>
  </si>
  <si>
    <t>FGT40FTK21059499</t>
  </si>
  <si>
    <t>BVA/IP/01146</t>
  </si>
  <si>
    <t>RRBVA1000001199</t>
  </si>
  <si>
    <t>4G-USB-VIVO-11971965405-30Gb</t>
  </si>
  <si>
    <t>(11)97196-5405</t>
  </si>
  <si>
    <t>10.100.10.184</t>
  </si>
  <si>
    <t>10.9.10.0/24</t>
  </si>
  <si>
    <t>FGT40FTK2109A49T</t>
  </si>
  <si>
    <t>RBO/IP/01577</t>
  </si>
  <si>
    <t>10.100.10.185</t>
  </si>
  <si>
    <t>10.8.82.0/24</t>
  </si>
  <si>
    <t>FGT40FTK22069261</t>
  </si>
  <si>
    <t>PAE/IP/21024</t>
  </si>
  <si>
    <t>A082623430143</t>
  </si>
  <si>
    <t>10.100.10.187</t>
  </si>
  <si>
    <t>10.8.80.0/24</t>
  </si>
  <si>
    <t>FGT40FTK20036368</t>
  </si>
  <si>
    <t>BHE/IP/30720</t>
  </si>
  <si>
    <t>10.100.10.188</t>
  </si>
  <si>
    <t>10.6.130.0/24</t>
  </si>
  <si>
    <t>FGT40FTK21020132</t>
  </si>
  <si>
    <t>ITE/IP/01298</t>
  </si>
  <si>
    <t>A082623430144</t>
  </si>
  <si>
    <t>10.100.10.189</t>
  </si>
  <si>
    <t>129.75.0.0/16</t>
  </si>
  <si>
    <t>10.8.45.0/24</t>
  </si>
  <si>
    <t>FGT40FTK21015076</t>
  </si>
  <si>
    <t>SRM/IP/01056</t>
  </si>
  <si>
    <t>AF798013 FAS103</t>
  </si>
  <si>
    <t>LOJA 847 - Santarém - PA</t>
  </si>
  <si>
    <t>4G-USB-VERO-51935054495-30Gb</t>
  </si>
  <si>
    <t>(51)93505-4495</t>
  </si>
  <si>
    <t>10.100.10.190</t>
  </si>
  <si>
    <t>10.6.123.0/24</t>
  </si>
  <si>
    <t>FGT40FTK21023861</t>
  </si>
  <si>
    <t>ZZ45726037006</t>
  </si>
  <si>
    <t>LOJA 848 - Av, Taboão - SP</t>
  </si>
  <si>
    <t>SBO/IP/06958</t>
  </si>
  <si>
    <t>10.100.10.191</t>
  </si>
  <si>
    <t>129.167.0.0/16</t>
  </si>
  <si>
    <t>10.8.48.0/24</t>
  </si>
  <si>
    <t>FGT40FTK22080349</t>
  </si>
  <si>
    <t>SRR/IP/05330</t>
  </si>
  <si>
    <t>OXMAN</t>
  </si>
  <si>
    <t>10.100.10.192</t>
  </si>
  <si>
    <t>129.163.0.0/16</t>
  </si>
  <si>
    <t>10.8.49.0/24</t>
  </si>
  <si>
    <t>FGT40FTK21020007</t>
  </si>
  <si>
    <t>A082623430138</t>
  </si>
  <si>
    <t>10.100.10.193</t>
  </si>
  <si>
    <t>10.8.151.0/24</t>
  </si>
  <si>
    <t>FGT40FTK2109A2FT</t>
  </si>
  <si>
    <t>SPO/IP/96781</t>
  </si>
  <si>
    <t>10.100.10.194</t>
  </si>
  <si>
    <t>129.196.0.0/16</t>
  </si>
  <si>
    <t>10.7.52.0/24</t>
  </si>
  <si>
    <t>FGT40FTK21059810</t>
  </si>
  <si>
    <t>FCR/IP/00640</t>
  </si>
  <si>
    <t>4G-USB-VIVO-11932440119-30Gb</t>
  </si>
  <si>
    <t>(11)93244-0119</t>
  </si>
  <si>
    <t>100GB</t>
  </si>
  <si>
    <t>10.100.10.195</t>
  </si>
  <si>
    <t>129.64.0.0/16</t>
  </si>
  <si>
    <t>10.8.53.0/24</t>
  </si>
  <si>
    <t>FGT40FTK2109A2QS</t>
  </si>
  <si>
    <t>10.100.10.197</t>
  </si>
  <si>
    <t>129.94.0.0/16</t>
  </si>
  <si>
    <t>10.8.58.0/24</t>
  </si>
  <si>
    <t>FGT40FTK21061848</t>
  </si>
  <si>
    <t>SPO/IP/95768</t>
  </si>
  <si>
    <t>10.100.10.198</t>
  </si>
  <si>
    <t>10.8.159.0/24</t>
  </si>
  <si>
    <t>FGT40FTK22068488</t>
  </si>
  <si>
    <t>CPS/IP/04899</t>
  </si>
  <si>
    <t>10.100.10.199</t>
  </si>
  <si>
    <t>10.3.137.0/24</t>
  </si>
  <si>
    <t>FGT40FTK22099YVE</t>
  </si>
  <si>
    <t>BHE/IP/18634</t>
  </si>
  <si>
    <t>10.100.10.200</t>
  </si>
  <si>
    <t>10.6.18.0/24</t>
  </si>
  <si>
    <t>FGT40FTK21020423</t>
  </si>
  <si>
    <t>SPO/IP/95867</t>
  </si>
  <si>
    <t>PPPOE: A077474100031@rs,pae - Senha: h0m8pphrroel</t>
  </si>
  <si>
    <t>10.100.10.201</t>
  </si>
  <si>
    <t>129.2.0.0/16</t>
  </si>
  <si>
    <t>10.8.68.0/24</t>
  </si>
  <si>
    <t>FGT40FTK22067584</t>
  </si>
  <si>
    <t>APMPA1000001002</t>
  </si>
  <si>
    <t>MPA/IP/01161 - 62 - 63</t>
  </si>
  <si>
    <t>10.100.10.203</t>
  </si>
  <si>
    <t>10.3.159.0/24</t>
  </si>
  <si>
    <t>FGT40FTK21023876</t>
  </si>
  <si>
    <t>CSL-817JDT9P5F-013</t>
  </si>
  <si>
    <t>CB641019</t>
  </si>
  <si>
    <t>CSL/IP/02577</t>
  </si>
  <si>
    <t>10.100.10.204</t>
  </si>
  <si>
    <t>10.8.84.0/24</t>
  </si>
  <si>
    <t>FGT40FTK20056110</t>
  </si>
  <si>
    <t>BGE/IP/00395</t>
  </si>
  <si>
    <t>BGE-817KCA2ZXQ-013</t>
  </si>
  <si>
    <t>10.100.10.205</t>
  </si>
  <si>
    <t>10.8.86.0/24</t>
  </si>
  <si>
    <t>FGT40FTK22099J6W</t>
  </si>
  <si>
    <t>TOT/IP/00412</t>
  </si>
  <si>
    <t>A082623430131</t>
  </si>
  <si>
    <t>10.100.10.206</t>
  </si>
  <si>
    <t>10.6.140.0/24</t>
  </si>
  <si>
    <t>FGT40FTK22099DGV</t>
  </si>
  <si>
    <t>BET/IP/03079</t>
  </si>
  <si>
    <t>10.100.10.207</t>
  </si>
  <si>
    <t>10.3.174.0/24</t>
  </si>
  <si>
    <t>FGT40FTK22099VTP</t>
  </si>
  <si>
    <t>PPPOE: A077474100037@sp,spo - Senha: 8qpqmypdipmv</t>
  </si>
  <si>
    <t>10.100.10.210</t>
  </si>
  <si>
    <t>10.3.198.0/24</t>
  </si>
  <si>
    <t>FGT40FTK22081528</t>
  </si>
  <si>
    <t>A077474100029</t>
  </si>
  <si>
    <t>10.100.10.211</t>
  </si>
  <si>
    <t>129.212.0.0/16</t>
  </si>
  <si>
    <t>10.8.89.0/24</t>
  </si>
  <si>
    <t>FGT40FTK22069642</t>
  </si>
  <si>
    <t>UGN/IP/00491</t>
  </si>
  <si>
    <t>A082623430134</t>
  </si>
  <si>
    <t>10.100.10.212</t>
  </si>
  <si>
    <t>10.3.157.0/24</t>
  </si>
  <si>
    <t>FGT40FTK21010259</t>
  </si>
  <si>
    <t>NRO/IP/00465</t>
  </si>
  <si>
    <t>AF798013 FAS140</t>
  </si>
  <si>
    <t>LOJA 891 - Shop, Prêmio - SE</t>
  </si>
  <si>
    <t>10.100.10.213</t>
  </si>
  <si>
    <t>10.3.164.0/24</t>
  </si>
  <si>
    <t>FGT40FTK2109A6MF</t>
  </si>
  <si>
    <t>LFS/IP/02890</t>
  </si>
  <si>
    <t>10.100.10.214</t>
  </si>
  <si>
    <t>10.3.161.0/24</t>
  </si>
  <si>
    <t>FGT40FTK22082154</t>
  </si>
  <si>
    <t>SDR/IP/31523</t>
  </si>
  <si>
    <t>10.100.10.215</t>
  </si>
  <si>
    <t>10.3.163.0/24</t>
  </si>
  <si>
    <t>FGT40FTK22065955</t>
  </si>
  <si>
    <t>BLM/IP/09434</t>
  </si>
  <si>
    <t>PABLM1000004795</t>
  </si>
  <si>
    <t>10.100.10.216</t>
  </si>
  <si>
    <t>10.3.147.0/24</t>
  </si>
  <si>
    <t>FGT40FTK22099MC4</t>
  </si>
  <si>
    <t>Fortinet Com Porta A intermitente , link embratel Porta 3 desde dia 06/11/2025</t>
  </si>
  <si>
    <t>AF798013 FAS156</t>
  </si>
  <si>
    <t>LOJA 908 - Ananideua - PA</t>
  </si>
  <si>
    <t>AIU/IP/01983</t>
  </si>
  <si>
    <t>10.100.10.217</t>
  </si>
  <si>
    <t>10.3.169.0/24</t>
  </si>
  <si>
    <t>FGT40FTK22099D42</t>
  </si>
  <si>
    <t>AF798013 FAS084A</t>
  </si>
  <si>
    <t>CBF/IP/04547</t>
  </si>
  <si>
    <t>10.100.10.219</t>
  </si>
  <si>
    <t>10.3.181.0/24</t>
  </si>
  <si>
    <t>FGT40FTK2209A986</t>
  </si>
  <si>
    <t>ROI/IP/01002</t>
  </si>
  <si>
    <t>ROI-817HGFY6CF-013</t>
  </si>
  <si>
    <t>10.100.10.220</t>
  </si>
  <si>
    <t>10.3.175.0/24</t>
  </si>
  <si>
    <t>FGT40FTK20013104</t>
  </si>
  <si>
    <t>Firewall trocado em 14/05/2026</t>
  </si>
  <si>
    <t>VVA/IP/03316</t>
  </si>
  <si>
    <t>10.100.10.222</t>
  </si>
  <si>
    <t>10.8.4.0/24</t>
  </si>
  <si>
    <t>FGT40FTK2109A2EY</t>
  </si>
  <si>
    <t xml:space="preserve">JPA/IP/06770 </t>
  </si>
  <si>
    <t>10.100.10.223</t>
  </si>
  <si>
    <t>10.8.3.0/24</t>
  </si>
  <si>
    <t>FGT40FTK2109A3FJ</t>
  </si>
  <si>
    <t>AF798013 FAS086</t>
  </si>
  <si>
    <t>LOJA 921- Vitória Park Shop, - PE</t>
  </si>
  <si>
    <t>10.100.10.224</t>
  </si>
  <si>
    <t>10.3.196.0/24</t>
  </si>
  <si>
    <t>FGT40FTK2109A077</t>
  </si>
  <si>
    <t>PAF/IP/00428</t>
  </si>
  <si>
    <t>AF798013 FAS150</t>
  </si>
  <si>
    <t>LOJA 922 - Paulo Afonso - BA</t>
  </si>
  <si>
    <t>10.100.10.225</t>
  </si>
  <si>
    <t>10.3.204.0/24</t>
  </si>
  <si>
    <t>FGT40FTK21087731</t>
  </si>
  <si>
    <t>10.100.10.226</t>
  </si>
  <si>
    <t>10.5.21.0/24</t>
  </si>
  <si>
    <t>FGT40FTK2109A2TH</t>
  </si>
  <si>
    <t>FLAIP10774</t>
  </si>
  <si>
    <t>4G-LAN3-CLARO-11978282826-30Gb</t>
  </si>
  <si>
    <t>(11) 97828-2826</t>
  </si>
  <si>
    <t>10.100.10.244</t>
  </si>
  <si>
    <t>10.3.195.0/24</t>
  </si>
  <si>
    <t>FGT40FTK22073398</t>
  </si>
  <si>
    <t>Modem 4G esta na loja 527 devido queda dos dois links</t>
  </si>
  <si>
    <t>PUI/IP/01516</t>
  </si>
  <si>
    <t>10.100.10.227</t>
  </si>
  <si>
    <t>10.8.36.0/24</t>
  </si>
  <si>
    <t>FGT40FTK21051856</t>
  </si>
  <si>
    <t>15143559/25</t>
  </si>
  <si>
    <t>318560206907191</t>
  </si>
  <si>
    <t>10.100.10.228</t>
  </si>
  <si>
    <t>10.3.203.0/24</t>
  </si>
  <si>
    <t>FGT40FTK21023475</t>
  </si>
  <si>
    <t>28140855/2025</t>
  </si>
  <si>
    <t>930Londrina</t>
  </si>
  <si>
    <t>4G-USB-VERO-71935002773-30Gb</t>
  </si>
  <si>
    <t>(71)93500-2773</t>
  </si>
  <si>
    <t>10.100.10.229</t>
  </si>
  <si>
    <t>10.3.176.0/24</t>
  </si>
  <si>
    <t>FGT40FTK2109A0L5</t>
  </si>
  <si>
    <t>GNA/IP/05767</t>
  </si>
  <si>
    <t>10.100.10.230</t>
  </si>
  <si>
    <t>10.3.189.0/24</t>
  </si>
  <si>
    <t>FGT40FTK22084893</t>
  </si>
  <si>
    <t>Itapecirica da Serra</t>
  </si>
  <si>
    <t xml:space="preserve"> ICS/IP/02716</t>
  </si>
  <si>
    <t>10.100.10.231</t>
  </si>
  <si>
    <t>10.5.19.0/24</t>
  </si>
  <si>
    <t>FGT40FTK22095533</t>
  </si>
  <si>
    <t xml:space="preserve"> MNS/IP/06523</t>
  </si>
  <si>
    <t>10.100.10.232</t>
  </si>
  <si>
    <t>10.3.190.0/24</t>
  </si>
  <si>
    <t>FGT40FTK22078789</t>
  </si>
  <si>
    <t xml:space="preserve"> porta wan do firewall com intermitência - link na 3</t>
  </si>
  <si>
    <t>A082623430129</t>
  </si>
  <si>
    <t>10.100.10.233</t>
  </si>
  <si>
    <t>10.5.22.0/24</t>
  </si>
  <si>
    <t>FGT40FTK21059884</t>
  </si>
  <si>
    <t>CAH/IP/00660</t>
  </si>
  <si>
    <t>automática de 12 em 12 meses</t>
  </si>
  <si>
    <t xml:space="preserve"> ADSL 600MB</t>
  </si>
  <si>
    <t>10.100.10.235</t>
  </si>
  <si>
    <t>10.3.184.0/24</t>
  </si>
  <si>
    <t>FGT40FTK21060938</t>
  </si>
  <si>
    <t>TSA/IP/06657</t>
  </si>
  <si>
    <t>10.100.10.236</t>
  </si>
  <si>
    <t>10.8.11.0/24</t>
  </si>
  <si>
    <t>FGT40FTK21050085</t>
  </si>
  <si>
    <t>SLS/IP/07807</t>
  </si>
  <si>
    <t>980000211866490</t>
  </si>
  <si>
    <t>4G-LAN3-VIVO-11972945060-30Gb</t>
  </si>
  <si>
    <t>10.100.10.237</t>
  </si>
  <si>
    <t>10.8.56.0/24</t>
  </si>
  <si>
    <t>FGT40FTK21061943</t>
  </si>
  <si>
    <t>MNS/IP/07757</t>
  </si>
  <si>
    <t>10.100.10.238</t>
  </si>
  <si>
    <t>10.8.35.0/24</t>
  </si>
  <si>
    <t>FGT40FTK2109A5YR</t>
  </si>
  <si>
    <t>CT/201603422B/3</t>
  </si>
  <si>
    <t>LOJA 958</t>
  </si>
  <si>
    <t>NIU 2373731</t>
  </si>
  <si>
    <t>Ramal adicional</t>
  </si>
  <si>
    <t>10.100.10.239</t>
  </si>
  <si>
    <t>10.3.86.0/24</t>
  </si>
  <si>
    <t>FGT40FTK2209A0S8</t>
  </si>
  <si>
    <t>Equipamentos BKP</t>
  </si>
  <si>
    <t>553BK</t>
  </si>
  <si>
    <t>Firewall</t>
  </si>
  <si>
    <t>Fortinet 40F</t>
  </si>
  <si>
    <t>FGT40FTK21061954</t>
  </si>
  <si>
    <t>4G-LAN3-VERO-11 935044147-30GB</t>
  </si>
  <si>
    <t>veio do CD</t>
  </si>
  <si>
    <t>Operadoras</t>
  </si>
  <si>
    <t>Lojas</t>
  </si>
  <si>
    <t>EC-CDs-Datacenter</t>
  </si>
  <si>
    <t>Gerente</t>
  </si>
  <si>
    <t>Contato</t>
  </si>
  <si>
    <t>Suporte</t>
  </si>
  <si>
    <t>Escalonamento depois de 6 Horas</t>
  </si>
  <si>
    <t>Roberto/Aurelio</t>
  </si>
  <si>
    <t>(11) 96600-9086 / 11 99183-6240</t>
  </si>
  <si>
    <t>11 96600-9086 / 11 99183-6240</t>
  </si>
  <si>
    <t>Caspo (11) 99365-7505</t>
  </si>
  <si>
    <t>Evandro 11 2121-2721</t>
  </si>
  <si>
    <t>Jose Eduardo 11 9 9259-6352</t>
  </si>
  <si>
    <t>Jorge/Julien</t>
  </si>
  <si>
    <t>(11) 99956-2671 / (51) 98405-7640</t>
  </si>
  <si>
    <t>11 94288-6345 /  8405-7640</t>
  </si>
  <si>
    <t>Bhering (11)97504-1171</t>
  </si>
  <si>
    <t>Ricardo (11) 99909-5181 /Douglas 1199551-6968</t>
  </si>
  <si>
    <t>Patricia/Cristina Midori</t>
  </si>
  <si>
    <t>(11) 99869-0974 / (11) 94730-4945</t>
  </si>
  <si>
    <t>11 94730-4945 /  11 94737-6219</t>
  </si>
  <si>
    <t>11 4934-7000</t>
  </si>
  <si>
    <t>Angelica 11 96397-1965 / Humberto 11 94028-8104</t>
  </si>
  <si>
    <t>Fernando Ciscar</t>
  </si>
  <si>
    <t xml:space="preserve"> (11) 94546-3623</t>
  </si>
  <si>
    <t>11 3500-1152/ 11 5043-5856</t>
  </si>
  <si>
    <t>1195185-9620/ 1193585-3415</t>
  </si>
  <si>
    <t>Cesar Padovese</t>
  </si>
  <si>
    <t>(11) 97572-1422</t>
  </si>
  <si>
    <t>11 95034-2020</t>
  </si>
  <si>
    <t>Maria Clara 21 96822-5988</t>
  </si>
  <si>
    <t>Jonio 21 9 7377-1427</t>
  </si>
  <si>
    <t>Juliana/Cesar</t>
  </si>
  <si>
    <t>(11) 98914 4855</t>
  </si>
  <si>
    <t>11 96721-0488 / 11 98914-4855</t>
  </si>
  <si>
    <t>Jackson 21 96958-2554</t>
  </si>
  <si>
    <t>Washington 2196958-2526</t>
  </si>
  <si>
    <t>Daniel Lassalva/ Arthur</t>
  </si>
  <si>
    <t xml:space="preserve"> 11 98500-7777</t>
  </si>
  <si>
    <t>11 98500-7777/ 11 96000-8867</t>
  </si>
  <si>
    <t>349889-2822</t>
  </si>
  <si>
    <t>91 2992-0230</t>
  </si>
  <si>
    <t>Oliver</t>
  </si>
  <si>
    <t>11 32100018 - 11 995282246</t>
  </si>
  <si>
    <t>Marcos Souza</t>
  </si>
  <si>
    <t>(11) 94766-4053</t>
  </si>
  <si>
    <t>114302-0001</t>
  </si>
  <si>
    <t>11 2110-1000</t>
  </si>
  <si>
    <t>Wedja Florêncio</t>
  </si>
  <si>
    <t>(81) 9 8970-2098</t>
  </si>
  <si>
    <t xml:space="preserve"> 81 8970-2098</t>
  </si>
  <si>
    <t>81 9761-4249</t>
  </si>
  <si>
    <t>Allan</t>
  </si>
  <si>
    <t xml:space="preserve"> 11 99869-0974</t>
  </si>
  <si>
    <t>08001255060 (opção 2)</t>
  </si>
  <si>
    <t>Wilson Kael 41 99292-9050</t>
  </si>
  <si>
    <t>Vinicius</t>
  </si>
  <si>
    <t xml:space="preserve"> 91 8123-6353</t>
  </si>
  <si>
    <t xml:space="preserve"> 91 8123-6353 - Vinicius</t>
  </si>
  <si>
    <t>Amanda Santos</t>
  </si>
  <si>
    <t>71 3402-0856</t>
  </si>
  <si>
    <t>71 3402-0800 - 71 2104-2244</t>
  </si>
  <si>
    <t>https://itsbrasil.sz.chat/webchat/v2/?cid=61c0dd992ad99100111fc632&amp;host=https://itsbrasil.sz.chat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</si>
</sst>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000000000"/>
    <numFmt numFmtId="165" formatCode="_-[$R$-416]\ * #,##0.00_-;\-[$R$-416]\ * #,##0.00_-;_-[$R$-416]\ * &quot;-&quot;??_-;_-@_-"/>
    <numFmt numFmtId="166" formatCode="&quot;R$&quot;\ #,##0.00"/>
    <numFmt numFmtId="167" formatCode="000"/>
    <numFmt numFmtId="168" formatCode="0000"/>
    <numFmt numFmtId="169" formatCode=";;"/>
    <numFmt numFmtId="170" formatCode="[$R$-416]\ #,##0.00_);[Red]\([$R$-416]\ #,##0.00\)"/>
    <numFmt numFmtId="171" formatCode="[$R$-416]\ #,##0.000_);[Red]\([$R$-416]\ #,##0.000\)"/>
    <numFmt numFmtId="172" formatCode="\R&quot;R$&quot;\ #,##0.00"/>
  </numFmts>
  <fonts count="53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0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family val="2"/>
    </font>
    <font>
      <sz val="11"/>
      <color theme="1"/>
      <name val="Calibri"/>
    </font>
    <font>
      <sz val="11"/>
      <color rgb="FF242424"/>
      <name val="Calibri"/>
    </font>
    <font>
      <sz val="11"/>
      <color rgb="FF000000"/>
      <name val="Calibri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0"/>
      <name val="Aptos Narrow"/>
      <family val="2"/>
      <scheme val="minor"/>
    </font>
    <font>
      <b/>
      <sz val="10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Aptos Narrow"/>
      <family val="2"/>
      <scheme val="minor"/>
    </font>
    <font>
      <sz val="11"/>
      <color theme="1"/>
      <name val="Calibri"/>
      <charset val="1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b/>
      <sz val="10"/>
      <color rgb="FF2F5496"/>
      <name val="Calibri"/>
    </font>
    <font>
      <b/>
      <sz val="14"/>
      <color rgb="FF1F4E78"/>
      <name val="Calibri"/>
    </font>
    <font>
      <b/>
      <sz val="12"/>
      <color rgb="FF1F4E78"/>
      <name val="Calibri"/>
    </font>
    <font>
      <b/>
      <sz val="18"/>
      <color rgb="FF1F4E78"/>
      <name val="Calibri"/>
    </font>
    <font>
      <b/>
      <sz val="10"/>
      <color rgb="FFFFFFFF"/>
      <name val="Calibri"/>
    </font>
    <font>
      <b/>
      <sz val="10"/>
      <color rgb="FF1F4E78"/>
      <name val="Calibri"/>
    </font>
    <font>
      <b/>
      <sz val="10"/>
      <color theme="0"/>
      <name val="Calibri"/>
    </font>
    <font>
      <sz val="10"/>
      <color theme="0"/>
      <name val="Calibri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u/>
      <sz val="11"/>
      <color rgb="FF000000"/>
      <name val="Aptos Narrow"/>
      <family val="2"/>
      <scheme val="minor"/>
    </font>
    <font>
      <sz val="11"/>
      <color rgb="FFFF0000"/>
      <name val="Calibri"/>
    </font>
  </fonts>
  <fills count="4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rgb="FFFFFFFF"/>
      </patternFill>
    </fill>
    <fill>
      <patternFill patternType="solid">
        <fgColor rgb="FFADADAD"/>
        <bgColor rgb="FFFFFFFF"/>
      </patternFill>
    </fill>
    <fill>
      <patternFill patternType="solid">
        <fgColor rgb="FF83CCEB"/>
        <bgColor rgb="FFFFFFFF"/>
      </patternFill>
    </fill>
    <fill>
      <patternFill patternType="solid">
        <fgColor rgb="FFF7C7AC"/>
        <bgColor rgb="FFFFFFFF"/>
      </patternFill>
    </fill>
    <fill>
      <patternFill patternType="solid">
        <fgColor rgb="FF83E28E"/>
        <bgColor rgb="FFFFFFFF"/>
      </patternFill>
    </fill>
    <fill>
      <patternFill patternType="solid">
        <fgColor rgb="FFE49EDD"/>
        <bgColor rgb="FFFFFFFF"/>
      </patternFill>
    </fill>
    <fill>
      <patternFill patternType="solid">
        <fgColor rgb="FFF1A983"/>
        <bgColor rgb="FFFFFFFF"/>
      </patternFill>
    </fill>
    <fill>
      <patternFill patternType="solid">
        <fgColor rgb="FF99FF66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4D93D9"/>
        <bgColor rgb="FFFFFFFF"/>
      </patternFill>
    </fill>
    <fill>
      <patternFill patternType="solid">
        <fgColor rgb="FF4EA72E"/>
        <bgColor rgb="FFFFFFFF"/>
      </patternFill>
    </fill>
    <fill>
      <patternFill patternType="solid">
        <fgColor rgb="FFE9713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013A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8F9FA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indexed="64"/>
      </top>
      <bottom style="thin">
        <color rgb="FF44B3E1"/>
      </bottom>
      <diagonal/>
    </border>
    <border>
      <left/>
      <right/>
      <top style="thin">
        <color indexed="64"/>
      </top>
      <bottom style="thin">
        <color rgb="FF44B3E1"/>
      </bottom>
      <diagonal/>
    </border>
    <border>
      <left/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rgb="FF44B3E1"/>
      </top>
      <bottom style="thin">
        <color indexed="64"/>
      </bottom>
      <diagonal/>
    </border>
    <border>
      <left/>
      <right/>
      <top style="thin">
        <color rgb="FF44B3E1"/>
      </top>
      <bottom style="thin">
        <color indexed="64"/>
      </bottom>
      <diagonal/>
    </border>
    <border>
      <left/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/>
      <right/>
      <top/>
      <bottom style="thin">
        <color rgb="FFB4C6E7"/>
      </bottom>
      <diagonal/>
    </border>
    <border>
      <left style="medium">
        <color rgb="FF000000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000000"/>
      </left>
      <right/>
      <top/>
      <bottom style="thin">
        <color rgb="FFB4C6E7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 style="medium">
        <color rgb="FF4472C4"/>
      </left>
      <right/>
      <top/>
      <bottom/>
      <diagonal/>
    </border>
    <border>
      <left style="medium">
        <color rgb="FF4472C4"/>
      </left>
      <right/>
      <top/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 style="medium">
        <color rgb="FF4472C4"/>
      </right>
      <top/>
      <bottom/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/>
      <right/>
      <top/>
      <bottom style="medium">
        <color rgb="FF4472C4"/>
      </bottom>
      <diagonal/>
    </border>
    <border>
      <left/>
      <right style="medium">
        <color rgb="FF000000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medium">
        <color rgb="FF4472C4"/>
      </right>
      <top style="thin">
        <color rgb="FFB4C6E7"/>
      </top>
      <bottom style="thin">
        <color rgb="FFB4C6E7"/>
      </bottom>
      <diagonal/>
    </border>
    <border>
      <left/>
      <right style="medium">
        <color rgb="FF000000"/>
      </right>
      <top style="thin">
        <color rgb="FFB4C6E7"/>
      </top>
      <bottom style="thin">
        <color rgb="FFB4C6E7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4472C4"/>
      </right>
      <top style="thin">
        <color theme="1"/>
      </top>
      <bottom style="thin">
        <color theme="1"/>
      </bottom>
      <diagonal/>
    </border>
    <border>
      <left style="thin">
        <color rgb="FF4472C4"/>
      </left>
      <right style="thin">
        <color rgb="FF4472C4"/>
      </right>
      <top style="thin">
        <color theme="1"/>
      </top>
      <bottom style="thin">
        <color theme="1"/>
      </bottom>
      <diagonal/>
    </border>
    <border>
      <left style="thin">
        <color rgb="FF4472C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4472C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4472C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rgb="FF4472C4"/>
      </right>
      <top style="thin">
        <color theme="1"/>
      </top>
      <bottom/>
      <diagonal/>
    </border>
    <border>
      <left style="thin">
        <color rgb="FF4472C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4472C4"/>
      </right>
      <top style="thin">
        <color theme="1"/>
      </top>
      <bottom/>
      <diagonal/>
    </border>
    <border>
      <left style="thin">
        <color rgb="FF4472C4"/>
      </left>
      <right style="thin">
        <color rgb="FF4472C4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6" fillId="0" borderId="0"/>
    <xf numFmtId="0" fontId="3" fillId="0" borderId="0"/>
    <xf numFmtId="44" fontId="3" fillId="0" borderId="0" applyFont="0" applyFill="0" applyBorder="0" applyAlignment="0" applyProtection="0"/>
    <xf numFmtId="0" fontId="7" fillId="0" borderId="0"/>
    <xf numFmtId="0" fontId="34" fillId="0" borderId="0" applyNumberFormat="0" applyFill="0" applyBorder="0" applyAlignment="0" applyProtection="0"/>
  </cellStyleXfs>
  <cellXfs count="1153">
    <xf numFmtId="0" fontId="0" fillId="0" borderId="0" xfId="0"/>
    <xf numFmtId="0" fontId="35" fillId="35" borderId="53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indent="1"/>
    </xf>
    <xf numFmtId="0" fontId="1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5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4" borderId="0" xfId="0" applyFill="1"/>
    <xf numFmtId="0" fontId="0" fillId="5" borderId="7" xfId="0" applyFill="1" applyBorder="1" applyAlignment="1">
      <alignment horizontal="center"/>
    </xf>
    <xf numFmtId="4" fontId="0" fillId="5" borderId="1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4" fontId="0" fillId="5" borderId="5" xfId="0" applyNumberForma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/>
    <xf numFmtId="14" fontId="0" fillId="5" borderId="4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4" fontId="5" fillId="5" borderId="1" xfId="2" applyNumberFormat="1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4" fontId="0" fillId="5" borderId="18" xfId="0" applyNumberForma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" fontId="0" fillId="5" borderId="15" xfId="0" applyNumberFormat="1" applyFill="1" applyBorder="1" applyAlignment="1">
      <alignment horizontal="center"/>
    </xf>
    <xf numFmtId="0" fontId="0" fillId="5" borderId="7" xfId="0" applyFill="1" applyBorder="1"/>
    <xf numFmtId="0" fontId="0" fillId="5" borderId="19" xfId="0" applyFill="1" applyBorder="1"/>
    <xf numFmtId="0" fontId="2" fillId="2" borderId="1" xfId="0" applyFont="1" applyFill="1" applyBorder="1"/>
    <xf numFmtId="4" fontId="4" fillId="5" borderId="5" xfId="0" applyNumberFormat="1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5" fillId="0" borderId="0" xfId="0" applyNumberFormat="1" applyFont="1" applyAlignment="1">
      <alignment horizontal="center"/>
    </xf>
    <xf numFmtId="4" fontId="0" fillId="5" borderId="15" xfId="0" applyNumberFormat="1" applyFill="1" applyBorder="1" applyAlignment="1">
      <alignment horizontal="center"/>
    </xf>
    <xf numFmtId="14" fontId="0" fillId="5" borderId="15" xfId="0" applyNumberFormat="1" applyFill="1" applyBorder="1" applyAlignment="1">
      <alignment horizontal="center"/>
    </xf>
    <xf numFmtId="4" fontId="4" fillId="5" borderId="7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5" borderId="14" xfId="0" applyFill="1" applyBorder="1"/>
    <xf numFmtId="0" fontId="0" fillId="5" borderId="20" xfId="0" applyFill="1" applyBorder="1" applyAlignment="1">
      <alignment horizontal="center"/>
    </xf>
    <xf numFmtId="0" fontId="0" fillId="0" borderId="15" xfId="0" applyBorder="1"/>
    <xf numFmtId="0" fontId="0" fillId="5" borderId="20" xfId="0" applyFill="1" applyBorder="1"/>
    <xf numFmtId="0" fontId="0" fillId="0" borderId="7" xfId="0" applyBorder="1"/>
    <xf numFmtId="0" fontId="13" fillId="5" borderId="4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/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" fontId="0" fillId="0" borderId="1" xfId="0" applyNumberFormat="1" applyBorder="1"/>
    <xf numFmtId="0" fontId="2" fillId="0" borderId="3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2" fillId="0" borderId="9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9" xfId="0" applyBorder="1"/>
    <xf numFmtId="0" fontId="18" fillId="7" borderId="21" xfId="0" applyFont="1" applyFill="1" applyBorder="1" applyAlignment="1">
      <alignment horizontal="center"/>
    </xf>
    <xf numFmtId="0" fontId="16" fillId="7" borderId="22" xfId="0" applyFont="1" applyFill="1" applyBorder="1" applyAlignment="1">
      <alignment horizontal="center"/>
    </xf>
    <xf numFmtId="0" fontId="16" fillId="7" borderId="23" xfId="0" applyFont="1" applyFill="1" applyBorder="1" applyAlignment="1">
      <alignment horizontal="center"/>
    </xf>
    <xf numFmtId="0" fontId="16" fillId="7" borderId="24" xfId="0" applyFont="1" applyFill="1" applyBorder="1" applyAlignment="1">
      <alignment horizontal="center"/>
    </xf>
    <xf numFmtId="0" fontId="18" fillId="8" borderId="25" xfId="0" applyFont="1" applyFill="1" applyBorder="1" applyAlignment="1">
      <alignment horizontal="center"/>
    </xf>
    <xf numFmtId="8" fontId="18" fillId="7" borderId="26" xfId="0" applyNumberFormat="1" applyFont="1" applyFill="1" applyBorder="1" applyAlignment="1">
      <alignment horizontal="center"/>
    </xf>
    <xf numFmtId="0" fontId="18" fillId="9" borderId="25" xfId="0" applyFont="1" applyFill="1" applyBorder="1" applyAlignment="1">
      <alignment horizontal="center"/>
    </xf>
    <xf numFmtId="0" fontId="18" fillId="10" borderId="25" xfId="0" applyFont="1" applyFill="1" applyBorder="1" applyAlignment="1">
      <alignment horizontal="center"/>
    </xf>
    <xf numFmtId="0" fontId="18" fillId="11" borderId="25" xfId="0" applyFont="1" applyFill="1" applyBorder="1" applyAlignment="1">
      <alignment horizontal="center"/>
    </xf>
    <xf numFmtId="0" fontId="18" fillId="12" borderId="25" xfId="0" applyFont="1" applyFill="1" applyBorder="1" applyAlignment="1">
      <alignment horizontal="center"/>
    </xf>
    <xf numFmtId="0" fontId="18" fillId="13" borderId="25" xfId="0" applyFont="1" applyFill="1" applyBorder="1" applyAlignment="1">
      <alignment horizontal="center"/>
    </xf>
    <xf numFmtId="0" fontId="18" fillId="14" borderId="25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8" fontId="18" fillId="0" borderId="0" xfId="0" applyNumberFormat="1" applyFont="1" applyAlignment="1">
      <alignment horizontal="center"/>
    </xf>
    <xf numFmtId="0" fontId="18" fillId="7" borderId="0" xfId="0" applyFont="1" applyFill="1" applyAlignment="1">
      <alignment horizontal="center"/>
    </xf>
    <xf numFmtId="8" fontId="18" fillId="7" borderId="0" xfId="0" applyNumberFormat="1" applyFont="1" applyFill="1" applyAlignment="1">
      <alignment horizontal="center"/>
    </xf>
    <xf numFmtId="14" fontId="18" fillId="7" borderId="0" xfId="0" applyNumberFormat="1" applyFont="1" applyFill="1" applyAlignment="1">
      <alignment horizontal="center"/>
    </xf>
    <xf numFmtId="0" fontId="18" fillId="7" borderId="32" xfId="0" applyFont="1" applyFill="1" applyBorder="1" applyAlignment="1">
      <alignment horizontal="center"/>
    </xf>
    <xf numFmtId="0" fontId="18" fillId="7" borderId="33" xfId="0" applyFont="1" applyFill="1" applyBorder="1" applyAlignment="1">
      <alignment horizontal="center"/>
    </xf>
    <xf numFmtId="0" fontId="17" fillId="15" borderId="34" xfId="0" applyFont="1" applyFill="1" applyBorder="1" applyAlignment="1">
      <alignment horizontal="center"/>
    </xf>
    <xf numFmtId="0" fontId="17" fillId="15" borderId="30" xfId="0" applyFont="1" applyFill="1" applyBorder="1" applyAlignment="1">
      <alignment horizontal="center"/>
    </xf>
    <xf numFmtId="14" fontId="18" fillId="7" borderId="32" xfId="0" applyNumberFormat="1" applyFont="1" applyFill="1" applyBorder="1" applyAlignment="1">
      <alignment horizontal="center"/>
    </xf>
    <xf numFmtId="8" fontId="18" fillId="7" borderId="32" xfId="0" applyNumberFormat="1" applyFont="1" applyFill="1" applyBorder="1" applyAlignment="1">
      <alignment horizontal="center"/>
    </xf>
    <xf numFmtId="0" fontId="17" fillId="16" borderId="34" xfId="0" applyFont="1" applyFill="1" applyBorder="1" applyAlignment="1">
      <alignment horizontal="center"/>
    </xf>
    <xf numFmtId="0" fontId="17" fillId="17" borderId="34" xfId="0" applyFont="1" applyFill="1" applyBorder="1" applyAlignment="1">
      <alignment horizontal="center"/>
    </xf>
    <xf numFmtId="0" fontId="17" fillId="16" borderId="30" xfId="0" applyFont="1" applyFill="1" applyBorder="1" applyAlignment="1">
      <alignment horizontal="center"/>
    </xf>
    <xf numFmtId="1" fontId="18" fillId="7" borderId="33" xfId="0" applyNumberFormat="1" applyFont="1" applyFill="1" applyBorder="1" applyAlignment="1">
      <alignment horizontal="center"/>
    </xf>
    <xf numFmtId="0" fontId="17" fillId="17" borderId="30" xfId="0" applyFont="1" applyFill="1" applyBorder="1" applyAlignment="1">
      <alignment horizontal="center"/>
    </xf>
    <xf numFmtId="1" fontId="18" fillId="7" borderId="32" xfId="0" applyNumberFormat="1" applyFont="1" applyFill="1" applyBorder="1" applyAlignment="1">
      <alignment horizontal="center"/>
    </xf>
    <xf numFmtId="0" fontId="17" fillId="18" borderId="30" xfId="0" applyFont="1" applyFill="1" applyBorder="1" applyAlignment="1">
      <alignment horizontal="center"/>
    </xf>
    <xf numFmtId="0" fontId="17" fillId="19" borderId="30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16" fillId="7" borderId="34" xfId="0" applyFont="1" applyFill="1" applyBorder="1" applyAlignment="1">
      <alignment horizontal="center"/>
    </xf>
    <xf numFmtId="0" fontId="16" fillId="7" borderId="35" xfId="0" applyFont="1" applyFill="1" applyBorder="1" applyAlignment="1">
      <alignment horizontal="center"/>
    </xf>
    <xf numFmtId="0" fontId="16" fillId="7" borderId="36" xfId="0" applyFont="1" applyFill="1" applyBorder="1" applyAlignment="1">
      <alignment horizontal="center"/>
    </xf>
    <xf numFmtId="0" fontId="17" fillId="15" borderId="31" xfId="0" applyFont="1" applyFill="1" applyBorder="1" applyAlignment="1">
      <alignment horizontal="center"/>
    </xf>
    <xf numFmtId="0" fontId="19" fillId="21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4" fontId="0" fillId="5" borderId="7" xfId="0" applyNumberFormat="1" applyFill="1" applyBorder="1" applyAlignment="1">
      <alignment horizontal="center"/>
    </xf>
    <xf numFmtId="4" fontId="5" fillId="5" borderId="7" xfId="2" applyNumberFormat="1" applyFont="1" applyFill="1" applyBorder="1" applyAlignment="1">
      <alignment horizontal="center" vertical="center"/>
    </xf>
    <xf numFmtId="0" fontId="16" fillId="20" borderId="27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8" fontId="16" fillId="20" borderId="29" xfId="0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8" fontId="0" fillId="0" borderId="14" xfId="0" applyNumberFormat="1" applyBorder="1" applyAlignment="1">
      <alignment horizontal="center"/>
    </xf>
    <xf numFmtId="0" fontId="20" fillId="4" borderId="18" xfId="0" applyFont="1" applyFill="1" applyBorder="1" applyAlignment="1">
      <alignment horizontal="center"/>
    </xf>
    <xf numFmtId="8" fontId="0" fillId="0" borderId="20" xfId="0" applyNumberFormat="1" applyBorder="1" applyAlignment="1">
      <alignment horizontal="center"/>
    </xf>
    <xf numFmtId="0" fontId="20" fillId="24" borderId="18" xfId="0" applyFont="1" applyFill="1" applyBorder="1" applyAlignment="1">
      <alignment horizontal="center"/>
    </xf>
    <xf numFmtId="8" fontId="0" fillId="0" borderId="19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20" fillId="23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8" fontId="20" fillId="22" borderId="3" xfId="0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8" fontId="20" fillId="25" borderId="6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1" fontId="2" fillId="3" borderId="8" xfId="0" applyNumberFormat="1" applyFont="1" applyFill="1" applyBorder="1" applyAlignment="1">
      <alignment horizontal="center"/>
    </xf>
    <xf numFmtId="166" fontId="2" fillId="3" borderId="7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5" borderId="3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22" fillId="0" borderId="3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2" fontId="4" fillId="5" borderId="7" xfId="0" applyNumberFormat="1" applyFont="1" applyFill="1" applyBorder="1" applyAlignment="1">
      <alignment horizontal="center"/>
    </xf>
    <xf numFmtId="4" fontId="0" fillId="5" borderId="20" xfId="0" applyNumberFormat="1" applyFill="1" applyBorder="1" applyAlignment="1">
      <alignment horizontal="center"/>
    </xf>
    <xf numFmtId="14" fontId="13" fillId="5" borderId="4" xfId="0" applyNumberFormat="1" applyFont="1" applyFill="1" applyBorder="1" applyAlignment="1">
      <alignment horizontal="center"/>
    </xf>
    <xf numFmtId="1" fontId="13" fillId="5" borderId="4" xfId="0" applyNumberFormat="1" applyFont="1" applyFill="1" applyBorder="1" applyAlignment="1">
      <alignment horizontal="center"/>
    </xf>
    <xf numFmtId="0" fontId="24" fillId="26" borderId="19" xfId="0" applyFont="1" applyFill="1" applyBorder="1" applyAlignment="1">
      <alignment horizontal="center"/>
    </xf>
    <xf numFmtId="0" fontId="24" fillId="26" borderId="4" xfId="0" applyFont="1" applyFill="1" applyBorder="1" applyAlignment="1">
      <alignment horizontal="center"/>
    </xf>
    <xf numFmtId="0" fontId="24" fillId="26" borderId="18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4" fontId="15" fillId="0" borderId="19" xfId="0" applyNumberFormat="1" applyFont="1" applyBorder="1" applyAlignment="1">
      <alignment horizontal="center"/>
    </xf>
    <xf numFmtId="0" fontId="15" fillId="0" borderId="4" xfId="0" applyFont="1" applyBorder="1"/>
    <xf numFmtId="0" fontId="15" fillId="27" borderId="7" xfId="0" applyFont="1" applyFill="1" applyBorder="1"/>
    <xf numFmtId="0" fontId="15" fillId="0" borderId="1" xfId="0" applyFont="1" applyBorder="1" applyAlignment="1">
      <alignment horizontal="center"/>
    </xf>
    <xf numFmtId="14" fontId="15" fillId="0" borderId="7" xfId="0" applyNumberFormat="1" applyFont="1" applyBorder="1" applyAlignment="1">
      <alignment horizontal="center"/>
    </xf>
    <xf numFmtId="0" fontId="15" fillId="0" borderId="1" xfId="0" applyFont="1" applyBorder="1"/>
    <xf numFmtId="0" fontId="25" fillId="0" borderId="15" xfId="0" applyFont="1" applyBorder="1" applyAlignment="1">
      <alignment horizontal="center"/>
    </xf>
    <xf numFmtId="14" fontId="15" fillId="0" borderId="14" xfId="0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5" fillId="27" borderId="1" xfId="0" applyFont="1" applyFill="1" applyBorder="1"/>
    <xf numFmtId="0" fontId="26" fillId="0" borderId="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15" fillId="0" borderId="20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14" fontId="15" fillId="0" borderId="4" xfId="0" applyNumberFormat="1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14" fontId="13" fillId="0" borderId="19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4" fontId="13" fillId="0" borderId="14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15" fillId="2" borderId="7" xfId="0" applyNumberFormat="1" applyFont="1" applyFill="1" applyBorder="1" applyAlignment="1">
      <alignment horizontal="center"/>
    </xf>
    <xf numFmtId="0" fontId="15" fillId="27" borderId="5" xfId="0" applyFont="1" applyFill="1" applyBorder="1"/>
    <xf numFmtId="0" fontId="26" fillId="27" borderId="0" xfId="0" applyFont="1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wrapText="1"/>
    </xf>
    <xf numFmtId="0" fontId="16" fillId="28" borderId="0" xfId="0" applyFont="1" applyFill="1"/>
    <xf numFmtId="1" fontId="28" fillId="29" borderId="9" xfId="0" quotePrefix="1" applyNumberFormat="1" applyFont="1" applyFill="1" applyBorder="1" applyAlignment="1">
      <alignment horizontal="center" vertical="center"/>
    </xf>
    <xf numFmtId="0" fontId="28" fillId="29" borderId="9" xfId="0" quotePrefix="1" applyFont="1" applyFill="1" applyBorder="1" applyAlignment="1">
      <alignment horizontal="center" vertical="center"/>
    </xf>
    <xf numFmtId="4" fontId="28" fillId="29" borderId="9" xfId="0" quotePrefix="1" applyNumberFormat="1" applyFont="1" applyFill="1" applyBorder="1" applyAlignment="1">
      <alignment horizontal="center" vertical="center"/>
    </xf>
    <xf numFmtId="0" fontId="0" fillId="0" borderId="9" xfId="0" quotePrefix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4" fillId="0" borderId="9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30" fillId="0" borderId="0" xfId="0" applyFont="1"/>
    <xf numFmtId="0" fontId="0" fillId="0" borderId="0" xfId="0" applyAlignment="1">
      <alignment wrapText="1"/>
    </xf>
    <xf numFmtId="0" fontId="29" fillId="0" borderId="9" xfId="0" quotePrefix="1" applyFont="1" applyBorder="1" applyAlignment="1">
      <alignment horizontal="center"/>
    </xf>
    <xf numFmtId="1" fontId="0" fillId="0" borderId="9" xfId="0" applyNumberFormat="1" applyBorder="1" applyAlignment="1">
      <alignment horizontal="center" wrapText="1"/>
    </xf>
    <xf numFmtId="4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0" xfId="0" quotePrefix="1"/>
    <xf numFmtId="167" fontId="0" fillId="0" borderId="9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167" fontId="0" fillId="0" borderId="11" xfId="0" applyNumberForma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167" fontId="0" fillId="0" borderId="9" xfId="0" applyNumberFormat="1" applyBorder="1" applyAlignment="1">
      <alignment horizontal="center" vertical="center"/>
    </xf>
    <xf numFmtId="0" fontId="16" fillId="28" borderId="0" xfId="0" applyFont="1" applyFill="1" applyAlignment="1">
      <alignment horizontal="center"/>
    </xf>
    <xf numFmtId="165" fontId="4" fillId="0" borderId="9" xfId="0" applyNumberFormat="1" applyFont="1" applyBorder="1" applyAlignment="1">
      <alignment horizontal="left"/>
    </xf>
    <xf numFmtId="0" fontId="4" fillId="0" borderId="9" xfId="0" applyFont="1" applyBorder="1" applyAlignment="1">
      <alignment horizontal="left" vertical="center" indent="2"/>
    </xf>
    <xf numFmtId="0" fontId="4" fillId="0" borderId="9" xfId="0" applyFont="1" applyBorder="1" applyAlignment="1">
      <alignment indent="1"/>
    </xf>
    <xf numFmtId="0" fontId="4" fillId="0" borderId="9" xfId="0" applyFont="1" applyBorder="1" applyAlignment="1">
      <alignment horizontal="left"/>
    </xf>
    <xf numFmtId="0" fontId="15" fillId="0" borderId="9" xfId="0" applyFont="1" applyBorder="1" applyAlignment="1">
      <alignment horizontal="center" wrapText="1"/>
    </xf>
    <xf numFmtId="0" fontId="22" fillId="2" borderId="2" xfId="0" applyFont="1" applyFill="1" applyBorder="1" applyAlignment="1">
      <alignment horizontal="center"/>
    </xf>
    <xf numFmtId="0" fontId="13" fillId="0" borderId="3" xfId="0" applyFont="1" applyBorder="1"/>
    <xf numFmtId="0" fontId="13" fillId="0" borderId="2" xfId="0" applyFont="1" applyBorder="1"/>
    <xf numFmtId="0" fontId="13" fillId="0" borderId="6" xfId="0" applyFont="1" applyBorder="1"/>
    <xf numFmtId="0" fontId="13" fillId="0" borderId="2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18" fillId="4" borderId="0" xfId="0" applyFont="1" applyFill="1"/>
    <xf numFmtId="0" fontId="18" fillId="4" borderId="0" xfId="0" applyFont="1" applyFill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 wrapText="1" indent="2"/>
    </xf>
    <xf numFmtId="165" fontId="4" fillId="0" borderId="9" xfId="0" applyNumberFormat="1" applyFont="1" applyBorder="1" applyAlignment="1">
      <alignment horizontal="center" vertical="center" indent="3"/>
    </xf>
    <xf numFmtId="165" fontId="4" fillId="0" borderId="9" xfId="0" applyNumberFormat="1" applyFont="1" applyBorder="1" applyAlignment="1">
      <alignment horizontal="center" vertical="center" indent="2"/>
    </xf>
    <xf numFmtId="165" fontId="4" fillId="0" borderId="9" xfId="0" applyNumberFormat="1" applyFont="1" applyBorder="1" applyAlignment="1">
      <alignment horizontal="center" vertical="center" indent="1"/>
    </xf>
    <xf numFmtId="165" fontId="4" fillId="0" borderId="9" xfId="0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5" fontId="4" fillId="0" borderId="1" xfId="0" applyNumberFormat="1" applyFont="1" applyBorder="1" applyAlignment="1">
      <alignment horizontal="center" vertical="center" indent="2"/>
    </xf>
    <xf numFmtId="169" fontId="0" fillId="0" borderId="0" xfId="0" applyNumberFormat="1" applyAlignment="1">
      <alignment horizontal="center"/>
    </xf>
    <xf numFmtId="167" fontId="0" fillId="0" borderId="12" xfId="0" applyNumberForma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5" borderId="15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0" fontId="13" fillId="0" borderId="0" xfId="0" applyFont="1"/>
    <xf numFmtId="165" fontId="0" fillId="0" borderId="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 wrapText="1"/>
    </xf>
    <xf numFmtId="0" fontId="4" fillId="0" borderId="0" xfId="0" applyFont="1" applyAlignment="1">
      <alignment indent="1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165" fontId="13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wrapText="1" indent="2"/>
    </xf>
    <xf numFmtId="165" fontId="4" fillId="0" borderId="12" xfId="0" applyNumberFormat="1" applyFont="1" applyBorder="1" applyAlignment="1">
      <alignment horizontal="center" wrapText="1" indent="2"/>
    </xf>
    <xf numFmtId="167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165" fontId="4" fillId="0" borderId="11" xfId="0" applyNumberFormat="1" applyFont="1" applyBorder="1" applyAlignment="1">
      <alignment horizontal="center" vertical="center" wrapText="1"/>
    </xf>
    <xf numFmtId="165" fontId="13" fillId="0" borderId="3" xfId="0" applyNumberFormat="1" applyFont="1" applyBorder="1" applyAlignment="1">
      <alignment horizontal="center"/>
    </xf>
    <xf numFmtId="1" fontId="13" fillId="0" borderId="1" xfId="1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 indent="2"/>
    </xf>
    <xf numFmtId="14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5" fillId="30" borderId="46" xfId="0" applyFont="1" applyFill="1" applyBorder="1" applyAlignment="1">
      <alignment horizontal="center"/>
    </xf>
    <xf numFmtId="0" fontId="15" fillId="30" borderId="1" xfId="0" applyFont="1" applyFill="1" applyBorder="1" applyAlignment="1">
      <alignment horizontal="center"/>
    </xf>
    <xf numFmtId="0" fontId="13" fillId="30" borderId="1" xfId="0" applyFont="1" applyFill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30" borderId="47" xfId="0" applyFont="1" applyFill="1" applyBorder="1" applyAlignment="1">
      <alignment horizontal="center"/>
    </xf>
    <xf numFmtId="0" fontId="15" fillId="30" borderId="2" xfId="0" applyFont="1" applyFill="1" applyBorder="1" applyAlignment="1">
      <alignment horizontal="center"/>
    </xf>
    <xf numFmtId="1" fontId="15" fillId="30" borderId="1" xfId="0" applyNumberFormat="1" applyFont="1" applyFill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 indent="3"/>
    </xf>
    <xf numFmtId="165" fontId="4" fillId="0" borderId="1" xfId="0" applyNumberFormat="1" applyFont="1" applyBorder="1" applyAlignment="1">
      <alignment horizontal="center" vertical="center" indent="3"/>
    </xf>
    <xf numFmtId="165" fontId="4" fillId="0" borderId="1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19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71" fontId="15" fillId="0" borderId="0" xfId="0" applyNumberFormat="1" applyFont="1" applyAlignment="1">
      <alignment horizontal="center"/>
    </xf>
    <xf numFmtId="0" fontId="13" fillId="0" borderId="18" xfId="0" applyFont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14" fontId="13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5" xfId="0" applyBorder="1" applyAlignment="1">
      <alignment horizontal="center" wrapText="1"/>
    </xf>
    <xf numFmtId="44" fontId="15" fillId="0" borderId="1" xfId="0" applyNumberFormat="1" applyFont="1" applyBorder="1" applyAlignment="1">
      <alignment horizontal="center"/>
    </xf>
    <xf numFmtId="14" fontId="13" fillId="0" borderId="6" xfId="0" applyNumberFormat="1" applyFont="1" applyBorder="1" applyAlignment="1">
      <alignment horizontal="center"/>
    </xf>
    <xf numFmtId="44" fontId="4" fillId="0" borderId="2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5" fontId="0" fillId="0" borderId="0" xfId="0" applyNumberFormat="1"/>
    <xf numFmtId="0" fontId="1" fillId="0" borderId="5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4" fontId="13" fillId="0" borderId="15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3" fillId="0" borderId="14" xfId="0" applyFon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44" fontId="4" fillId="5" borderId="18" xfId="0" applyNumberFormat="1" applyFont="1" applyFill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0" fontId="4" fillId="0" borderId="15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13" fillId="27" borderId="1" xfId="0" applyFont="1" applyFill="1" applyBorder="1" applyAlignment="1">
      <alignment horizontal="center"/>
    </xf>
    <xf numFmtId="14" fontId="1" fillId="27" borderId="1" xfId="0" applyNumberFormat="1" applyFont="1" applyFill="1" applyBorder="1" applyAlignment="1">
      <alignment horizontal="center"/>
    </xf>
    <xf numFmtId="1" fontId="1" fillId="27" borderId="1" xfId="0" applyNumberFormat="1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3" fillId="27" borderId="5" xfId="0" applyFont="1" applyFill="1" applyBorder="1" applyAlignment="1">
      <alignment horizontal="center"/>
    </xf>
    <xf numFmtId="0" fontId="13" fillId="27" borderId="4" xfId="0" applyFont="1" applyFill="1" applyBorder="1" applyAlignment="1">
      <alignment horizontal="center"/>
    </xf>
    <xf numFmtId="0" fontId="0" fillId="27" borderId="5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14" fontId="0" fillId="27" borderId="5" xfId="0" applyNumberFormat="1" applyFill="1" applyBorder="1" applyAlignment="1">
      <alignment horizontal="center"/>
    </xf>
    <xf numFmtId="44" fontId="0" fillId="27" borderId="1" xfId="0" applyNumberFormat="1" applyFill="1" applyBorder="1" applyAlignment="1">
      <alignment horizontal="center"/>
    </xf>
    <xf numFmtId="44" fontId="13" fillId="5" borderId="15" xfId="0" applyNumberFormat="1" applyFont="1" applyFill="1" applyBorder="1" applyAlignment="1">
      <alignment horizontal="center"/>
    </xf>
    <xf numFmtId="0" fontId="10" fillId="27" borderId="1" xfId="0" applyFont="1" applyFill="1" applyBorder="1" applyAlignment="1">
      <alignment horizontal="center"/>
    </xf>
    <xf numFmtId="44" fontId="13" fillId="0" borderId="2" xfId="0" applyNumberFormat="1" applyFont="1" applyBorder="1" applyAlignment="1">
      <alignment horizontal="center"/>
    </xf>
    <xf numFmtId="4" fontId="4" fillId="0" borderId="18" xfId="0" applyNumberFormat="1" applyFont="1" applyBorder="1" applyAlignment="1">
      <alignment horizontal="center"/>
    </xf>
    <xf numFmtId="44" fontId="4" fillId="0" borderId="3" xfId="0" applyNumberFormat="1" applyFont="1" applyBorder="1" applyAlignment="1">
      <alignment horizontal="center"/>
    </xf>
    <xf numFmtId="44" fontId="4" fillId="0" borderId="18" xfId="0" applyNumberFormat="1" applyFont="1" applyBorder="1" applyAlignment="1">
      <alignment horizontal="center"/>
    </xf>
    <xf numFmtId="44" fontId="15" fillId="0" borderId="15" xfId="0" applyNumberFormat="1" applyFont="1" applyBorder="1" applyAlignment="1">
      <alignment horizontal="center"/>
    </xf>
    <xf numFmtId="0" fontId="0" fillId="0" borderId="20" xfId="0" applyBorder="1"/>
    <xf numFmtId="165" fontId="4" fillId="0" borderId="18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0" fillId="0" borderId="15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4" fontId="13" fillId="0" borderId="1" xfId="0" applyNumberFormat="1" applyFont="1" applyBorder="1" applyAlignment="1">
      <alignment horizontal="center"/>
    </xf>
    <xf numFmtId="3" fontId="0" fillId="0" borderId="5" xfId="0" applyNumberFormat="1" applyBorder="1"/>
    <xf numFmtId="165" fontId="13" fillId="0" borderId="15" xfId="0" applyNumberFormat="1" applyFont="1" applyBorder="1" applyAlignment="1">
      <alignment horizontal="center"/>
    </xf>
    <xf numFmtId="0" fontId="1" fillId="27" borderId="5" xfId="0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44" fontId="4" fillId="0" borderId="0" xfId="0" applyNumberFormat="1" applyFont="1" applyAlignment="1">
      <alignment horizontal="center"/>
    </xf>
    <xf numFmtId="44" fontId="15" fillId="0" borderId="5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4" fontId="0" fillId="0" borderId="14" xfId="0" applyNumberForma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0" fillId="27" borderId="15" xfId="0" applyFont="1" applyFill="1" applyBorder="1" applyAlignment="1">
      <alignment horizontal="center"/>
    </xf>
    <xf numFmtId="14" fontId="1" fillId="27" borderId="15" xfId="0" applyNumberFormat="1" applyFont="1" applyFill="1" applyBorder="1" applyAlignment="1">
      <alignment horizontal="center"/>
    </xf>
    <xf numFmtId="0" fontId="1" fillId="27" borderId="15" xfId="0" applyFont="1" applyFill="1" applyBorder="1" applyAlignment="1">
      <alignment horizontal="center"/>
    </xf>
    <xf numFmtId="165" fontId="13" fillId="27" borderId="18" xfId="0" applyNumberFormat="1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4" fontId="15" fillId="0" borderId="4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0" fontId="0" fillId="27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4" fontId="4" fillId="0" borderId="19" xfId="0" applyNumberFormat="1" applyFont="1" applyBorder="1" applyAlignment="1">
      <alignment horizontal="center"/>
    </xf>
    <xf numFmtId="44" fontId="13" fillId="0" borderId="6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14" fontId="1" fillId="27" borderId="4" xfId="0" applyNumberFormat="1" applyFont="1" applyFill="1" applyBorder="1" applyAlignment="1">
      <alignment horizontal="center"/>
    </xf>
    <xf numFmtId="0" fontId="11" fillId="27" borderId="4" xfId="0" applyFont="1" applyFill="1" applyBorder="1" applyAlignment="1">
      <alignment horizontal="center"/>
    </xf>
    <xf numFmtId="0" fontId="1" fillId="27" borderId="4" xfId="0" applyFont="1" applyFill="1" applyBorder="1" applyAlignment="1">
      <alignment horizontal="center"/>
    </xf>
    <xf numFmtId="44" fontId="0" fillId="0" borderId="18" xfId="0" applyNumberFormat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4" fontId="1" fillId="27" borderId="5" xfId="0" applyNumberFormat="1" applyFont="1" applyFill="1" applyBorder="1" applyAlignment="1">
      <alignment horizontal="center"/>
    </xf>
    <xf numFmtId="1" fontId="1" fillId="27" borderId="5" xfId="0" applyNumberFormat="1" applyFont="1" applyFill="1" applyBorder="1" applyAlignment="1">
      <alignment horizontal="center"/>
    </xf>
    <xf numFmtId="165" fontId="13" fillId="27" borderId="6" xfId="0" applyNumberFormat="1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0" fillId="0" borderId="14" xfId="0" applyBorder="1"/>
    <xf numFmtId="4" fontId="5" fillId="0" borderId="1" xfId="2" applyNumberFormat="1" applyFont="1" applyBorder="1" applyAlignment="1">
      <alignment horizontal="center" vertical="center"/>
    </xf>
    <xf numFmtId="4" fontId="5" fillId="0" borderId="7" xfId="2" applyNumberFormat="1" applyFont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6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13" fillId="0" borderId="3" xfId="0" applyNumberFormat="1" applyFont="1" applyBorder="1" applyAlignment="1">
      <alignment horizontal="center"/>
    </xf>
    <xf numFmtId="44" fontId="15" fillId="0" borderId="7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1" fontId="1" fillId="27" borderId="4" xfId="0" applyNumberFormat="1" applyFont="1" applyFill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4" fontId="4" fillId="0" borderId="17" xfId="0" applyNumberFormat="1" applyFont="1" applyBorder="1" applyAlignment="1">
      <alignment horizontal="center"/>
    </xf>
    <xf numFmtId="4" fontId="5" fillId="0" borderId="5" xfId="2" applyNumberFormat="1" applyFont="1" applyBorder="1" applyAlignment="1">
      <alignment horizontal="center" vertical="center"/>
    </xf>
    <xf numFmtId="4" fontId="5" fillId="0" borderId="20" xfId="2" applyNumberFormat="1" applyFont="1" applyBorder="1" applyAlignment="1">
      <alignment horizontal="center" vertical="center"/>
    </xf>
    <xf numFmtId="4" fontId="5" fillId="0" borderId="15" xfId="2" applyNumberFormat="1" applyFont="1" applyBorder="1" applyAlignment="1">
      <alignment horizontal="center" vertical="center"/>
    </xf>
    <xf numFmtId="4" fontId="4" fillId="0" borderId="20" xfId="0" applyNumberFormat="1" applyFont="1" applyBorder="1" applyAlignment="1">
      <alignment horizontal="center"/>
    </xf>
    <xf numFmtId="4" fontId="4" fillId="0" borderId="15" xfId="0" applyNumberFormat="1" applyFont="1" applyBorder="1" applyAlignment="1">
      <alignment horizontal="center"/>
    </xf>
    <xf numFmtId="0" fontId="1" fillId="27" borderId="19" xfId="0" applyFont="1" applyFill="1" applyBorder="1" applyAlignment="1">
      <alignment horizontal="center"/>
    </xf>
    <xf numFmtId="4" fontId="5" fillId="0" borderId="4" xfId="2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/>
    </xf>
    <xf numFmtId="4" fontId="5" fillId="0" borderId="19" xfId="2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4" fontId="0" fillId="0" borderId="1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 wrapText="1"/>
    </xf>
    <xf numFmtId="44" fontId="13" fillId="0" borderId="5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44" fontId="13" fillId="27" borderId="18" xfId="0" applyNumberFormat="1" applyFont="1" applyFill="1" applyBorder="1" applyAlignment="1">
      <alignment horizontal="center"/>
    </xf>
    <xf numFmtId="1" fontId="1" fillId="27" borderId="15" xfId="0" applyNumberFormat="1" applyFont="1" applyFill="1" applyBorder="1" applyAlignment="1">
      <alignment horizontal="center"/>
    </xf>
    <xf numFmtId="0" fontId="1" fillId="27" borderId="14" xfId="0" applyFont="1" applyFill="1" applyBorder="1" applyAlignment="1">
      <alignment horizontal="center"/>
    </xf>
    <xf numFmtId="44" fontId="13" fillId="0" borderId="18" xfId="0" applyNumberFormat="1" applyFon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165" fontId="13" fillId="27" borderId="1" xfId="0" applyNumberFormat="1" applyFont="1" applyFill="1" applyBorder="1" applyAlignment="1">
      <alignment horizontal="center"/>
    </xf>
    <xf numFmtId="3" fontId="0" fillId="0" borderId="0" xfId="0" applyNumberFormat="1"/>
    <xf numFmtId="1" fontId="4" fillId="0" borderId="15" xfId="0" applyNumberFormat="1" applyFont="1" applyBorder="1" applyAlignment="1">
      <alignment horizontal="center"/>
    </xf>
    <xf numFmtId="165" fontId="13" fillId="0" borderId="18" xfId="0" applyNumberFormat="1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13" fillId="0" borderId="5" xfId="0" applyFont="1" applyBorder="1"/>
    <xf numFmtId="0" fontId="4" fillId="0" borderId="4" xfId="0" applyFont="1" applyBorder="1" applyAlignment="1">
      <alignment horizontal="center"/>
    </xf>
    <xf numFmtId="4" fontId="5" fillId="0" borderId="14" xfId="2" applyNumberFormat="1" applyFont="1" applyBorder="1" applyAlignment="1">
      <alignment horizontal="center" vertical="center"/>
    </xf>
    <xf numFmtId="0" fontId="18" fillId="31" borderId="35" xfId="0" applyFont="1" applyFill="1" applyBorder="1" applyAlignment="1">
      <alignment horizontal="center"/>
    </xf>
    <xf numFmtId="14" fontId="18" fillId="31" borderId="35" xfId="0" applyNumberFormat="1" applyFont="1" applyFill="1" applyBorder="1" applyAlignment="1">
      <alignment horizontal="center"/>
    </xf>
    <xf numFmtId="0" fontId="18" fillId="31" borderId="35" xfId="0" applyFont="1" applyFill="1" applyBorder="1" applyAlignment="1">
      <alignment horizontal="center" wrapText="1"/>
    </xf>
    <xf numFmtId="8" fontId="18" fillId="31" borderId="35" xfId="0" applyNumberFormat="1" applyFont="1" applyFill="1" applyBorder="1" applyAlignment="1">
      <alignment horizontal="center"/>
    </xf>
    <xf numFmtId="1" fontId="18" fillId="31" borderId="36" xfId="0" applyNumberFormat="1" applyFont="1" applyFill="1" applyBorder="1" applyAlignment="1">
      <alignment horizontal="center"/>
    </xf>
    <xf numFmtId="0" fontId="18" fillId="31" borderId="32" xfId="0" applyFont="1" applyFill="1" applyBorder="1" applyAlignment="1">
      <alignment horizontal="center"/>
    </xf>
    <xf numFmtId="14" fontId="18" fillId="31" borderId="32" xfId="0" applyNumberFormat="1" applyFont="1" applyFill="1" applyBorder="1" applyAlignment="1">
      <alignment horizontal="center"/>
    </xf>
    <xf numFmtId="8" fontId="18" fillId="31" borderId="32" xfId="0" applyNumberFormat="1" applyFont="1" applyFill="1" applyBorder="1" applyAlignment="1">
      <alignment horizontal="center"/>
    </xf>
    <xf numFmtId="1" fontId="18" fillId="31" borderId="32" xfId="0" applyNumberFormat="1" applyFont="1" applyFill="1" applyBorder="1" applyAlignment="1">
      <alignment horizontal="center"/>
    </xf>
    <xf numFmtId="1" fontId="18" fillId="31" borderId="35" xfId="0" applyNumberFormat="1" applyFont="1" applyFill="1" applyBorder="1" applyAlignment="1">
      <alignment horizontal="center"/>
    </xf>
    <xf numFmtId="0" fontId="18" fillId="31" borderId="33" xfId="0" applyFont="1" applyFill="1" applyBorder="1" applyAlignment="1">
      <alignment horizontal="center"/>
    </xf>
    <xf numFmtId="0" fontId="18" fillId="31" borderId="36" xfId="0" applyFont="1" applyFill="1" applyBorder="1" applyAlignment="1">
      <alignment horizontal="center"/>
    </xf>
    <xf numFmtId="0" fontId="17" fillId="27" borderId="30" xfId="0" applyFont="1" applyFill="1" applyBorder="1" applyAlignment="1">
      <alignment horizontal="center"/>
    </xf>
    <xf numFmtId="0" fontId="18" fillId="27" borderId="32" xfId="0" applyFont="1" applyFill="1" applyBorder="1" applyAlignment="1">
      <alignment horizontal="center"/>
    </xf>
    <xf numFmtId="14" fontId="18" fillId="27" borderId="32" xfId="0" applyNumberFormat="1" applyFont="1" applyFill="1" applyBorder="1" applyAlignment="1">
      <alignment horizontal="center"/>
    </xf>
    <xf numFmtId="8" fontId="18" fillId="27" borderId="32" xfId="0" applyNumberFormat="1" applyFont="1" applyFill="1" applyBorder="1" applyAlignment="1">
      <alignment horizontal="center"/>
    </xf>
    <xf numFmtId="1" fontId="18" fillId="27" borderId="32" xfId="0" applyNumberFormat="1" applyFont="1" applyFill="1" applyBorder="1" applyAlignment="1">
      <alignment horizontal="center"/>
    </xf>
    <xf numFmtId="0" fontId="17" fillId="27" borderId="0" xfId="0" applyFont="1" applyFill="1" applyAlignment="1">
      <alignment horizontal="center"/>
    </xf>
    <xf numFmtId="0" fontId="18" fillId="27" borderId="0" xfId="0" applyFont="1" applyFill="1" applyAlignment="1">
      <alignment horizontal="center"/>
    </xf>
    <xf numFmtId="14" fontId="18" fillId="27" borderId="0" xfId="0" applyNumberFormat="1" applyFont="1" applyFill="1" applyAlignment="1">
      <alignment horizontal="center"/>
    </xf>
    <xf numFmtId="8" fontId="18" fillId="27" borderId="0" xfId="0" applyNumberFormat="1" applyFont="1" applyFill="1" applyAlignment="1">
      <alignment horizontal="center"/>
    </xf>
    <xf numFmtId="0" fontId="18" fillId="27" borderId="0" xfId="0" applyFont="1" applyFill="1" applyAlignment="1">
      <alignment horizontal="center" wrapText="1"/>
    </xf>
    <xf numFmtId="1" fontId="18" fillId="27" borderId="0" xfId="0" applyNumberFormat="1" applyFont="1" applyFill="1" applyAlignment="1">
      <alignment horizontal="center"/>
    </xf>
    <xf numFmtId="0" fontId="0" fillId="27" borderId="0" xfId="0" applyFill="1" applyAlignment="1">
      <alignment horizontal="center"/>
    </xf>
    <xf numFmtId="1" fontId="13" fillId="0" borderId="15" xfId="0" quotePrefix="1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13" fillId="27" borderId="3" xfId="0" applyNumberFormat="1" applyFont="1" applyFill="1" applyBorder="1" applyAlignment="1">
      <alignment horizontal="center"/>
    </xf>
    <xf numFmtId="44" fontId="13" fillId="5" borderId="2" xfId="0" applyNumberFormat="1" applyFont="1" applyFill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4" fontId="13" fillId="0" borderId="18" xfId="0" applyNumberFormat="1" applyFont="1" applyBorder="1" applyAlignment="1">
      <alignment horizontal="center"/>
    </xf>
    <xf numFmtId="0" fontId="10" fillId="27" borderId="4" xfId="0" applyFont="1" applyFill="1" applyBorder="1" applyAlignment="1">
      <alignment horizontal="center"/>
    </xf>
    <xf numFmtId="165" fontId="5" fillId="0" borderId="15" xfId="0" applyNumberFormat="1" applyFont="1" applyBorder="1" applyAlignment="1">
      <alignment horizontal="center"/>
    </xf>
    <xf numFmtId="44" fontId="15" fillId="0" borderId="44" xfId="0" applyNumberFormat="1" applyFont="1" applyBorder="1" applyAlignment="1">
      <alignment horizontal="center"/>
    </xf>
    <xf numFmtId="0" fontId="17" fillId="16" borderId="39" xfId="0" applyFont="1" applyFill="1" applyBorder="1" applyAlignment="1">
      <alignment horizontal="center"/>
    </xf>
    <xf numFmtId="0" fontId="18" fillId="7" borderId="40" xfId="0" applyFont="1" applyFill="1" applyBorder="1" applyAlignment="1">
      <alignment horizontal="center"/>
    </xf>
    <xf numFmtId="14" fontId="18" fillId="7" borderId="40" xfId="0" applyNumberFormat="1" applyFont="1" applyFill="1" applyBorder="1" applyAlignment="1">
      <alignment horizontal="center"/>
    </xf>
    <xf numFmtId="0" fontId="18" fillId="7" borderId="45" xfId="0" quotePrefix="1" applyFont="1" applyFill="1" applyBorder="1" applyAlignment="1">
      <alignment horizontal="center"/>
    </xf>
    <xf numFmtId="0" fontId="18" fillId="14" borderId="48" xfId="0" applyFont="1" applyFill="1" applyBorder="1" applyAlignment="1">
      <alignment horizontal="center"/>
    </xf>
    <xf numFmtId="0" fontId="18" fillId="7" borderId="49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170" fontId="13" fillId="0" borderId="8" xfId="0" applyNumberFormat="1" applyFont="1" applyBorder="1" applyAlignment="1">
      <alignment horizontal="center"/>
    </xf>
    <xf numFmtId="165" fontId="13" fillId="27" borderId="15" xfId="0" applyNumberFormat="1" applyFont="1" applyFill="1" applyBorder="1" applyAlignment="1">
      <alignment horizontal="center"/>
    </xf>
    <xf numFmtId="44" fontId="13" fillId="0" borderId="4" xfId="0" applyNumberFormat="1" applyFont="1" applyBorder="1" applyAlignment="1">
      <alignment horizontal="center"/>
    </xf>
    <xf numFmtId="14" fontId="13" fillId="0" borderId="3" xfId="0" applyNumberFormat="1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44" fontId="4" fillId="0" borderId="5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0" fillId="27" borderId="5" xfId="0" applyFont="1" applyFill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1" fillId="27" borderId="20" xfId="0" applyFont="1" applyFill="1" applyBorder="1" applyAlignment="1">
      <alignment horizontal="center"/>
    </xf>
    <xf numFmtId="165" fontId="13" fillId="27" borderId="5" xfId="0" applyNumberFormat="1" applyFont="1" applyFill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44" fontId="1" fillId="27" borderId="4" xfId="0" applyNumberFormat="1" applyFont="1" applyFill="1" applyBorder="1" applyAlignment="1">
      <alignment horizontal="center"/>
    </xf>
    <xf numFmtId="4" fontId="5" fillId="0" borderId="17" xfId="2" applyNumberFormat="1" applyFont="1" applyBorder="1" applyAlignment="1">
      <alignment horizontal="center" vertical="center"/>
    </xf>
    <xf numFmtId="44" fontId="15" fillId="0" borderId="15" xfId="2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 wrapText="1"/>
    </xf>
    <xf numFmtId="44" fontId="0" fillId="0" borderId="5" xfId="0" applyNumberFormat="1" applyBorder="1" applyAlignment="1">
      <alignment horizontal="center"/>
    </xf>
    <xf numFmtId="0" fontId="17" fillId="32" borderId="34" xfId="0" applyFont="1" applyFill="1" applyBorder="1" applyAlignment="1">
      <alignment horizontal="center" wrapText="1"/>
    </xf>
    <xf numFmtId="0" fontId="18" fillId="7" borderId="35" xfId="0" applyFont="1" applyFill="1" applyBorder="1" applyAlignment="1">
      <alignment horizontal="center"/>
    </xf>
    <xf numFmtId="14" fontId="18" fillId="7" borderId="35" xfId="0" applyNumberFormat="1" applyFont="1" applyFill="1" applyBorder="1" applyAlignment="1">
      <alignment horizontal="center"/>
    </xf>
    <xf numFmtId="0" fontId="18" fillId="7" borderId="36" xfId="0" quotePrefix="1" applyFont="1" applyFill="1" applyBorder="1" applyAlignment="1">
      <alignment horizontal="center"/>
    </xf>
    <xf numFmtId="0" fontId="16" fillId="7" borderId="30" xfId="0" applyFont="1" applyFill="1" applyBorder="1" applyAlignment="1">
      <alignment horizontal="center"/>
    </xf>
    <xf numFmtId="0" fontId="16" fillId="7" borderId="32" xfId="0" applyFont="1" applyFill="1" applyBorder="1" applyAlignment="1">
      <alignment horizontal="center"/>
    </xf>
    <xf numFmtId="0" fontId="16" fillId="7" borderId="33" xfId="0" applyFont="1" applyFill="1" applyBorder="1" applyAlignment="1">
      <alignment horizontal="center"/>
    </xf>
    <xf numFmtId="0" fontId="17" fillId="15" borderId="39" xfId="0" applyFont="1" applyFill="1" applyBorder="1" applyAlignment="1">
      <alignment horizontal="center"/>
    </xf>
    <xf numFmtId="0" fontId="18" fillId="31" borderId="40" xfId="0" applyFont="1" applyFill="1" applyBorder="1" applyAlignment="1">
      <alignment horizontal="center"/>
    </xf>
    <xf numFmtId="14" fontId="18" fillId="31" borderId="40" xfId="0" applyNumberFormat="1" applyFont="1" applyFill="1" applyBorder="1" applyAlignment="1">
      <alignment horizontal="center"/>
    </xf>
    <xf numFmtId="8" fontId="18" fillId="31" borderId="40" xfId="0" applyNumberFormat="1" applyFont="1" applyFill="1" applyBorder="1" applyAlignment="1">
      <alignment horizontal="center"/>
    </xf>
    <xf numFmtId="166" fontId="18" fillId="7" borderId="35" xfId="0" applyNumberFormat="1" applyFont="1" applyFill="1" applyBorder="1" applyAlignment="1">
      <alignment horizontal="center"/>
    </xf>
    <xf numFmtId="8" fontId="20" fillId="32" borderId="6" xfId="0" applyNumberFormat="1" applyFont="1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22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165" fontId="0" fillId="27" borderId="1" xfId="0" applyNumberFormat="1" applyFill="1" applyBorder="1" applyAlignment="1">
      <alignment horizontal="center"/>
    </xf>
    <xf numFmtId="0" fontId="1" fillId="27" borderId="18" xfId="0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1" fillId="27" borderId="3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4" fontId="1" fillId="4" borderId="4" xfId="0" applyNumberFormat="1" applyFont="1" applyFill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44" fontId="0" fillId="0" borderId="0" xfId="0" applyNumberFormat="1" applyAlignment="1">
      <alignment horizontal="center"/>
    </xf>
    <xf numFmtId="44" fontId="5" fillId="0" borderId="1" xfId="0" applyNumberFormat="1" applyFon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27" borderId="6" xfId="0" applyFont="1" applyFill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1" fillId="27" borderId="1" xfId="0" applyFont="1" applyFill="1" applyBorder="1" applyAlignment="1">
      <alignment horizontal="center" vertical="center"/>
    </xf>
    <xf numFmtId="14" fontId="1" fillId="27" borderId="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65" fontId="15" fillId="0" borderId="18" xfId="2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11" fillId="27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4" fontId="0" fillId="27" borderId="1" xfId="0" applyNumberFormat="1" applyFill="1" applyBorder="1" applyAlignment="1">
      <alignment horizontal="center"/>
    </xf>
    <xf numFmtId="44" fontId="0" fillId="27" borderId="4" xfId="0" applyNumberFormat="1" applyFill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22" fillId="27" borderId="0" xfId="0" applyFont="1" applyFill="1" applyAlignment="1">
      <alignment horizontal="center"/>
    </xf>
    <xf numFmtId="1" fontId="2" fillId="27" borderId="0" xfId="0" applyNumberFormat="1" applyFont="1" applyFill="1" applyAlignment="1">
      <alignment horizontal="center"/>
    </xf>
    <xf numFmtId="166" fontId="2" fillId="27" borderId="0" xfId="0" applyNumberFormat="1" applyFont="1" applyFill="1" applyAlignment="1">
      <alignment horizontal="center"/>
    </xf>
    <xf numFmtId="8" fontId="18" fillId="7" borderId="35" xfId="0" applyNumberFormat="1" applyFont="1" applyFill="1" applyBorder="1" applyAlignment="1">
      <alignment horizontal="center"/>
    </xf>
    <xf numFmtId="0" fontId="13" fillId="27" borderId="15" xfId="0" applyFont="1" applyFill="1" applyBorder="1" applyAlignment="1">
      <alignment horizontal="center"/>
    </xf>
    <xf numFmtId="14" fontId="10" fillId="0" borderId="1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23" fillId="27" borderId="5" xfId="0" applyFont="1" applyFill="1" applyBorder="1" applyAlignment="1">
      <alignment horizontal="center"/>
    </xf>
    <xf numFmtId="1" fontId="0" fillId="27" borderId="5" xfId="0" applyNumberFormat="1" applyFill="1" applyBorder="1" applyAlignment="1">
      <alignment horizontal="center"/>
    </xf>
    <xf numFmtId="0" fontId="13" fillId="0" borderId="15" xfId="0" quotePrefix="1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 vertical="center" wrapText="1"/>
    </xf>
    <xf numFmtId="14" fontId="0" fillId="27" borderId="15" xfId="0" applyNumberFormat="1" applyFill="1" applyBorder="1" applyAlignment="1">
      <alignment horizontal="center"/>
    </xf>
    <xf numFmtId="0" fontId="1" fillId="27" borderId="16" xfId="0" applyFont="1" applyFill="1" applyBorder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14" fontId="15" fillId="0" borderId="2" xfId="0" applyNumberFormat="1" applyFont="1" applyBorder="1" applyAlignment="1">
      <alignment horizontal="center"/>
    </xf>
    <xf numFmtId="14" fontId="15" fillId="0" borderId="15" xfId="0" applyNumberFormat="1" applyFont="1" applyBorder="1" applyAlignment="1">
      <alignment horizontal="center"/>
    </xf>
    <xf numFmtId="165" fontId="13" fillId="5" borderId="5" xfId="0" applyNumberFormat="1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13" fillId="27" borderId="5" xfId="0" applyNumberFormat="1" applyFont="1" applyFill="1" applyBorder="1" applyAlignment="1">
      <alignment horizontal="center"/>
    </xf>
    <xf numFmtId="1" fontId="13" fillId="27" borderId="5" xfId="0" applyNumberFormat="1" applyFont="1" applyFill="1" applyBorder="1" applyAlignment="1">
      <alignment horizontal="center"/>
    </xf>
    <xf numFmtId="0" fontId="13" fillId="27" borderId="14" xfId="0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7" borderId="4" xfId="0" applyFill="1" applyBorder="1"/>
    <xf numFmtId="1" fontId="13" fillId="0" borderId="4" xfId="0" applyNumberFormat="1" applyFon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/>
    </xf>
    <xf numFmtId="0" fontId="0" fillId="0" borderId="1" xfId="0" quotePrefix="1" applyBorder="1"/>
    <xf numFmtId="0" fontId="18" fillId="33" borderId="32" xfId="0" applyFont="1" applyFill="1" applyBorder="1" applyAlignment="1">
      <alignment horizontal="center"/>
    </xf>
    <xf numFmtId="0" fontId="18" fillId="33" borderId="35" xfId="0" applyFont="1" applyFill="1" applyBorder="1" applyAlignment="1">
      <alignment horizontal="center"/>
    </xf>
    <xf numFmtId="16" fontId="18" fillId="33" borderId="40" xfId="0" applyNumberFormat="1" applyFont="1" applyFill="1" applyBorder="1" applyAlignment="1">
      <alignment horizontal="center"/>
    </xf>
    <xf numFmtId="0" fontId="18" fillId="7" borderId="36" xfId="0" applyFont="1" applyFill="1" applyBorder="1" applyAlignment="1">
      <alignment horizontal="center"/>
    </xf>
    <xf numFmtId="8" fontId="18" fillId="33" borderId="35" xfId="0" applyNumberFormat="1" applyFont="1" applyFill="1" applyBorder="1" applyAlignment="1">
      <alignment horizontal="center"/>
    </xf>
    <xf numFmtId="44" fontId="5" fillId="0" borderId="1" xfId="2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14" fontId="13" fillId="3" borderId="15" xfId="0" applyNumberFormat="1" applyFont="1" applyFill="1" applyBorder="1" applyAlignment="1">
      <alignment horizontal="center"/>
    </xf>
    <xf numFmtId="14" fontId="0" fillId="3" borderId="15" xfId="0" applyNumberFormat="1" applyFill="1" applyBorder="1" applyAlignment="1">
      <alignment horizontal="center"/>
    </xf>
    <xf numFmtId="1" fontId="13" fillId="3" borderId="15" xfId="0" applyNumberFormat="1" applyFont="1" applyFill="1" applyBorder="1" applyAlignment="1">
      <alignment horizontal="center"/>
    </xf>
    <xf numFmtId="0" fontId="22" fillId="3" borderId="15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4" fontId="4" fillId="3" borderId="4" xfId="0" applyNumberFormat="1" applyFont="1" applyFill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0" fontId="0" fillId="3" borderId="18" xfId="0" applyFill="1" applyBorder="1"/>
    <xf numFmtId="164" fontId="4" fillId="0" borderId="0" xfId="0" applyNumberFormat="1" applyFont="1" applyAlignment="1">
      <alignment horizontal="center"/>
    </xf>
    <xf numFmtId="44" fontId="13" fillId="0" borderId="0" xfId="0" applyNumberFormat="1" applyFont="1" applyAlignment="1">
      <alignment horizontal="center"/>
    </xf>
    <xf numFmtId="0" fontId="13" fillId="27" borderId="0" xfId="0" applyFont="1" applyFill="1" applyAlignment="1">
      <alignment horizontal="center"/>
    </xf>
    <xf numFmtId="1" fontId="13" fillId="27" borderId="0" xfId="1" applyNumberFormat="1" applyFont="1" applyFill="1" applyAlignment="1">
      <alignment horizontal="center"/>
    </xf>
    <xf numFmtId="14" fontId="13" fillId="27" borderId="0" xfId="0" applyNumberFormat="1" applyFont="1" applyFill="1" applyAlignment="1">
      <alignment horizontal="center"/>
    </xf>
    <xf numFmtId="165" fontId="4" fillId="27" borderId="0" xfId="0" applyNumberFormat="1" applyFont="1" applyFill="1" applyAlignment="1">
      <alignment horizontal="center"/>
    </xf>
    <xf numFmtId="14" fontId="0" fillId="27" borderId="0" xfId="0" applyNumberFormat="1" applyFill="1" applyAlignment="1">
      <alignment horizontal="center"/>
    </xf>
    <xf numFmtId="4" fontId="0" fillId="27" borderId="0" xfId="0" applyNumberFormat="1" applyFill="1" applyAlignment="1">
      <alignment horizontal="center"/>
    </xf>
    <xf numFmtId="1" fontId="0" fillId="27" borderId="0" xfId="0" applyNumberFormat="1" applyFill="1" applyAlignment="1">
      <alignment horizontal="center"/>
    </xf>
    <xf numFmtId="1" fontId="0" fillId="27" borderId="4" xfId="0" applyNumberFormat="1" applyFill="1" applyBorder="1" applyAlignment="1">
      <alignment horizontal="center"/>
    </xf>
    <xf numFmtId="1" fontId="0" fillId="27" borderId="15" xfId="0" applyNumberFormat="1" applyFill="1" applyBorder="1" applyAlignment="1">
      <alignment horizontal="center"/>
    </xf>
    <xf numFmtId="0" fontId="29" fillId="0" borderId="0" xfId="0" applyFont="1"/>
    <xf numFmtId="44" fontId="13" fillId="27" borderId="0" xfId="0" applyNumberFormat="1" applyFont="1" applyFill="1" applyAlignment="1">
      <alignment horizontal="center"/>
    </xf>
    <xf numFmtId="0" fontId="22" fillId="2" borderId="5" xfId="0" applyFont="1" applyFill="1" applyBorder="1" applyAlignment="1">
      <alignment horizontal="center" wrapText="1"/>
    </xf>
    <xf numFmtId="0" fontId="22" fillId="2" borderId="6" xfId="0" applyFont="1" applyFill="1" applyBorder="1" applyAlignment="1">
      <alignment horizontal="center"/>
    </xf>
    <xf numFmtId="14" fontId="32" fillId="7" borderId="1" xfId="0" applyNumberFormat="1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13" fillId="0" borderId="1" xfId="0" applyFont="1" applyBorder="1"/>
    <xf numFmtId="14" fontId="32" fillId="7" borderId="5" xfId="0" applyNumberFormat="1" applyFont="1" applyFill="1" applyBorder="1" applyAlignment="1">
      <alignment horizontal="center"/>
    </xf>
    <xf numFmtId="0" fontId="32" fillId="7" borderId="5" xfId="0" applyFont="1" applyFill="1" applyBorder="1" applyAlignment="1">
      <alignment horizontal="center"/>
    </xf>
    <xf numFmtId="0" fontId="11" fillId="27" borderId="1" xfId="0" applyFont="1" applyFill="1" applyBorder="1" applyAlignment="1">
      <alignment horizontal="center"/>
    </xf>
    <xf numFmtId="0" fontId="15" fillId="27" borderId="4" xfId="0" applyFont="1" applyFill="1" applyBorder="1" applyAlignment="1">
      <alignment horizontal="center"/>
    </xf>
    <xf numFmtId="4" fontId="0" fillId="0" borderId="7" xfId="0" applyNumberFormat="1" applyBorder="1" applyAlignment="1">
      <alignment horizontal="left"/>
    </xf>
    <xf numFmtId="0" fontId="18" fillId="33" borderId="33" xfId="0" applyFont="1" applyFill="1" applyBorder="1" applyAlignment="1">
      <alignment horizontal="center"/>
    </xf>
    <xf numFmtId="8" fontId="18" fillId="33" borderId="36" xfId="0" applyNumberFormat="1" applyFont="1" applyFill="1" applyBorder="1" applyAlignment="1">
      <alignment horizontal="center"/>
    </xf>
    <xf numFmtId="16" fontId="18" fillId="33" borderId="45" xfId="0" applyNumberFormat="1" applyFont="1" applyFill="1" applyBorder="1" applyAlignment="1">
      <alignment horizontal="center"/>
    </xf>
    <xf numFmtId="0" fontId="18" fillId="33" borderId="32" xfId="0" applyFont="1" applyFill="1" applyBorder="1" applyAlignment="1">
      <alignment horizontal="center" wrapText="1"/>
    </xf>
    <xf numFmtId="166" fontId="18" fillId="0" borderId="0" xfId="0" applyNumberFormat="1" applyFont="1" applyAlignment="1">
      <alignment horizontal="center"/>
    </xf>
    <xf numFmtId="0" fontId="18" fillId="0" borderId="0" xfId="0" quotePrefix="1" applyFont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18" fillId="4" borderId="34" xfId="0" applyFont="1" applyFill="1" applyBorder="1" applyAlignment="1">
      <alignment horizontal="center"/>
    </xf>
    <xf numFmtId="0" fontId="18" fillId="4" borderId="39" xfId="0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/>
    </xf>
    <xf numFmtId="0" fontId="33" fillId="7" borderId="22" xfId="0" applyFont="1" applyFill="1" applyBorder="1" applyAlignment="1">
      <alignment horizontal="center"/>
    </xf>
    <xf numFmtId="0" fontId="33" fillId="7" borderId="23" xfId="0" applyFont="1" applyFill="1" applyBorder="1" applyAlignment="1">
      <alignment horizontal="center"/>
    </xf>
    <xf numFmtId="0" fontId="33" fillId="7" borderId="24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8" fontId="5" fillId="7" borderId="26" xfId="0" applyNumberFormat="1" applyFont="1" applyFill="1" applyBorder="1" applyAlignment="1">
      <alignment horizontal="center"/>
    </xf>
    <xf numFmtId="0" fontId="5" fillId="10" borderId="25" xfId="0" applyFont="1" applyFill="1" applyBorder="1" applyAlignment="1">
      <alignment horizontal="center"/>
    </xf>
    <xf numFmtId="0" fontId="5" fillId="11" borderId="25" xfId="0" applyFont="1" applyFill="1" applyBorder="1" applyAlignment="1">
      <alignment horizontal="center"/>
    </xf>
    <xf numFmtId="0" fontId="5" fillId="12" borderId="25" xfId="0" applyFont="1" applyFill="1" applyBorder="1" applyAlignment="1">
      <alignment horizontal="center"/>
    </xf>
    <xf numFmtId="0" fontId="5" fillId="13" borderId="25" xfId="0" applyFont="1" applyFill="1" applyBorder="1" applyAlignment="1">
      <alignment horizontal="center"/>
    </xf>
    <xf numFmtId="0" fontId="5" fillId="14" borderId="48" xfId="0" applyFont="1" applyFill="1" applyBorder="1" applyAlignment="1">
      <alignment horizontal="center"/>
    </xf>
    <xf numFmtId="0" fontId="5" fillId="7" borderId="49" xfId="0" applyFont="1" applyFill="1" applyBorder="1" applyAlignment="1">
      <alignment horizontal="center"/>
    </xf>
    <xf numFmtId="0" fontId="33" fillId="20" borderId="27" xfId="0" applyFont="1" applyFill="1" applyBorder="1" applyAlignment="1">
      <alignment horizontal="center"/>
    </xf>
    <xf numFmtId="0" fontId="33" fillId="20" borderId="28" xfId="0" applyFont="1" applyFill="1" applyBorder="1" applyAlignment="1">
      <alignment horizontal="center"/>
    </xf>
    <xf numFmtId="8" fontId="33" fillId="20" borderId="29" xfId="0" applyNumberFormat="1" applyFont="1" applyFill="1" applyBorder="1" applyAlignment="1">
      <alignment horizontal="center"/>
    </xf>
    <xf numFmtId="0" fontId="0" fillId="0" borderId="4" xfId="0" quotePrefix="1" applyBorder="1"/>
    <xf numFmtId="14" fontId="1" fillId="0" borderId="0" xfId="0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0" fillId="27" borderId="20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1" fillId="27" borderId="19" xfId="0" applyNumberFormat="1" applyFont="1" applyFill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2" fillId="5" borderId="5" xfId="0" applyFont="1" applyFill="1" applyBorder="1" applyAlignment="1">
      <alignment horizontal="center"/>
    </xf>
    <xf numFmtId="0" fontId="22" fillId="34" borderId="5" xfId="0" applyFont="1" applyFill="1" applyBorder="1" applyAlignment="1">
      <alignment horizontal="center"/>
    </xf>
    <xf numFmtId="0" fontId="22" fillId="34" borderId="4" xfId="0" applyFont="1" applyFill="1" applyBorder="1" applyAlignment="1">
      <alignment horizontal="center"/>
    </xf>
    <xf numFmtId="0" fontId="22" fillId="34" borderId="15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4" borderId="18" xfId="0" applyFont="1" applyFill="1" applyBorder="1" applyAlignment="1">
      <alignment horizontal="center"/>
    </xf>
    <xf numFmtId="0" fontId="22" fillId="3" borderId="18" xfId="0" applyFont="1" applyFill="1" applyBorder="1" applyAlignment="1">
      <alignment horizontal="center"/>
    </xf>
    <xf numFmtId="0" fontId="22" fillId="34" borderId="1" xfId="0" applyFont="1" applyFill="1" applyBorder="1" applyAlignment="1">
      <alignment horizontal="center"/>
    </xf>
    <xf numFmtId="0" fontId="22" fillId="34" borderId="3" xfId="0" applyFont="1" applyFill="1" applyBorder="1" applyAlignment="1">
      <alignment horizontal="center"/>
    </xf>
    <xf numFmtId="0" fontId="22" fillId="34" borderId="2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4" borderId="6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4" fontId="1" fillId="27" borderId="2" xfId="0" applyNumberFormat="1" applyFont="1" applyFill="1" applyBorder="1" applyAlignment="1">
      <alignment horizontal="center"/>
    </xf>
    <xf numFmtId="0" fontId="1" fillId="27" borderId="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 wrapText="1"/>
    </xf>
    <xf numFmtId="165" fontId="0" fillId="3" borderId="4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4" fontId="1" fillId="3" borderId="4" xfId="0" applyNumberFormat="1" applyFont="1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1" fontId="1" fillId="0" borderId="5" xfId="1" applyNumberFormat="1" applyFont="1" applyBorder="1" applyAlignment="1">
      <alignment horizontal="center"/>
    </xf>
    <xf numFmtId="0" fontId="22" fillId="5" borderId="18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2" fillId="3" borderId="4" xfId="0" quotePrefix="1" applyFont="1" applyFill="1" applyBorder="1"/>
    <xf numFmtId="165" fontId="13" fillId="3" borderId="4" xfId="0" applyNumberFormat="1" applyFont="1" applyFill="1" applyBorder="1" applyAlignment="1">
      <alignment horizontal="center"/>
    </xf>
    <xf numFmtId="14" fontId="1" fillId="0" borderId="18" xfId="0" applyNumberFormat="1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8" fillId="7" borderId="35" xfId="0" quotePrefix="1" applyFont="1" applyFill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34" fillId="0" borderId="0" xfId="5"/>
    <xf numFmtId="165" fontId="13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44" fontId="4" fillId="0" borderId="14" xfId="0" applyNumberFormat="1" applyFont="1" applyBorder="1" applyAlignment="1">
      <alignment horizontal="center"/>
    </xf>
    <xf numFmtId="165" fontId="0" fillId="27" borderId="5" xfId="0" applyNumberFormat="1" applyFill="1" applyBorder="1" applyAlignment="1">
      <alignment horizontal="center"/>
    </xf>
    <xf numFmtId="1" fontId="13" fillId="0" borderId="0" xfId="1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1" fontId="13" fillId="34" borderId="1" xfId="0" applyNumberFormat="1" applyFont="1" applyFill="1" applyBorder="1" applyAlignment="1">
      <alignment horizontal="left"/>
    </xf>
    <xf numFmtId="4" fontId="13" fillId="34" borderId="1" xfId="0" applyNumberFormat="1" applyFont="1" applyFill="1" applyBorder="1" applyAlignment="1">
      <alignment horizontal="right"/>
    </xf>
    <xf numFmtId="4" fontId="15" fillId="34" borderId="19" xfId="2" applyNumberFormat="1" applyFont="1" applyFill="1" applyBorder="1" applyAlignment="1">
      <alignment horizontal="right" vertical="center"/>
    </xf>
    <xf numFmtId="4" fontId="15" fillId="34" borderId="7" xfId="2" applyNumberFormat="1" applyFont="1" applyFill="1" applyBorder="1" applyAlignment="1">
      <alignment horizontal="right" vertical="center"/>
    </xf>
    <xf numFmtId="4" fontId="13" fillId="34" borderId="7" xfId="0" applyNumberFormat="1" applyFont="1" applyFill="1" applyBorder="1" applyAlignment="1">
      <alignment horizontal="left"/>
    </xf>
    <xf numFmtId="4" fontId="13" fillId="34" borderId="7" xfId="0" applyNumberFormat="1" applyFont="1" applyFill="1" applyBorder="1" applyAlignment="1">
      <alignment horizontal="right"/>
    </xf>
    <xf numFmtId="4" fontId="13" fillId="34" borderId="19" xfId="0" applyNumberFormat="1" applyFont="1" applyFill="1" applyBorder="1" applyAlignment="1">
      <alignment horizontal="right"/>
    </xf>
    <xf numFmtId="4" fontId="13" fillId="34" borderId="7" xfId="0" applyNumberFormat="1" applyFont="1" applyFill="1" applyBorder="1"/>
    <xf numFmtId="4" fontId="0" fillId="34" borderId="7" xfId="0" applyNumberFormat="1" applyFill="1" applyBorder="1" applyAlignment="1">
      <alignment horizontal="left"/>
    </xf>
    <xf numFmtId="4" fontId="10" fillId="34" borderId="14" xfId="2" applyNumberFormat="1" applyFont="1" applyFill="1" applyBorder="1" applyAlignment="1">
      <alignment horizontal="right" vertical="center"/>
    </xf>
    <xf numFmtId="44" fontId="4" fillId="0" borderId="4" xfId="0" applyNumberFormat="1" applyFont="1" applyBorder="1" applyAlignment="1">
      <alignment horizontal="center"/>
    </xf>
    <xf numFmtId="1" fontId="0" fillId="34" borderId="7" xfId="0" applyNumberFormat="1" applyFill="1" applyBorder="1" applyAlignment="1">
      <alignment horizontal="left"/>
    </xf>
    <xf numFmtId="2" fontId="13" fillId="34" borderId="1" xfId="0" applyNumberFormat="1" applyFont="1" applyFill="1" applyBorder="1" applyAlignment="1">
      <alignment horizontal="right"/>
    </xf>
    <xf numFmtId="4" fontId="13" fillId="34" borderId="5" xfId="0" applyNumberFormat="1" applyFont="1" applyFill="1" applyBorder="1" applyAlignment="1">
      <alignment horizontal="right"/>
    </xf>
    <xf numFmtId="4" fontId="0" fillId="5" borderId="4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" fontId="0" fillId="3" borderId="18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4" fillId="3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 wrapText="1"/>
    </xf>
    <xf numFmtId="4" fontId="13" fillId="0" borderId="7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" fontId="0" fillId="34" borderId="14" xfId="0" applyNumberForma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8" fontId="18" fillId="7" borderId="40" xfId="0" applyNumberFormat="1" applyFont="1" applyFill="1" applyBorder="1" applyAlignment="1">
      <alignment horizontal="center"/>
    </xf>
    <xf numFmtId="1" fontId="18" fillId="7" borderId="45" xfId="0" applyNumberFormat="1" applyFont="1" applyFill="1" applyBorder="1" applyAlignment="1">
      <alignment horizontal="center"/>
    </xf>
    <xf numFmtId="0" fontId="17" fillId="34" borderId="30" xfId="0" applyFont="1" applyFill="1" applyBorder="1" applyAlignment="1">
      <alignment horizontal="center"/>
    </xf>
    <xf numFmtId="0" fontId="18" fillId="0" borderId="32" xfId="0" applyFont="1" applyBorder="1" applyAlignment="1">
      <alignment horizontal="center"/>
    </xf>
    <xf numFmtId="14" fontId="18" fillId="0" borderId="32" xfId="0" applyNumberFormat="1" applyFont="1" applyBorder="1" applyAlignment="1">
      <alignment horizontal="center"/>
    </xf>
    <xf numFmtId="8" fontId="18" fillId="0" borderId="32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left"/>
    </xf>
    <xf numFmtId="0" fontId="13" fillId="3" borderId="3" xfId="0" applyFon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65" fontId="13" fillId="3" borderId="15" xfId="0" applyNumberFormat="1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44" fontId="13" fillId="3" borderId="18" xfId="0" applyNumberFormat="1" applyFon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20" xfId="0" applyNumberFormat="1" applyFont="1" applyFill="1" applyBorder="1" applyAlignment="1">
      <alignment horizontal="center"/>
    </xf>
    <xf numFmtId="14" fontId="1" fillId="3" borderId="15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44" fontId="13" fillId="3" borderId="4" xfId="0" applyNumberFormat="1" applyFont="1" applyFill="1" applyBorder="1" applyAlignment="1">
      <alignment horizontal="center"/>
    </xf>
    <xf numFmtId="14" fontId="0" fillId="4" borderId="15" xfId="0" applyNumberFormat="1" applyFill="1" applyBorder="1" applyAlignment="1">
      <alignment horizontal="center"/>
    </xf>
    <xf numFmtId="14" fontId="1" fillId="4" borderId="15" xfId="0" applyNumberFormat="1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4" fontId="13" fillId="4" borderId="5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44" fontId="4" fillId="3" borderId="6" xfId="0" applyNumberFormat="1" applyFont="1" applyFill="1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44" fontId="4" fillId="3" borderId="18" xfId="0" applyNumberFormat="1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14" fontId="13" fillId="3" borderId="5" xfId="0" applyNumberFormat="1" applyFont="1" applyFill="1" applyBorder="1" applyAlignment="1">
      <alignment horizontal="center"/>
    </xf>
    <xf numFmtId="165" fontId="13" fillId="3" borderId="5" xfId="0" applyNumberFormat="1" applyFont="1" applyFill="1" applyBorder="1" applyAlignment="1">
      <alignment horizontal="center"/>
    </xf>
    <xf numFmtId="44" fontId="0" fillId="3" borderId="4" xfId="0" applyNumberFormat="1" applyFill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14" fontId="0" fillId="0" borderId="5" xfId="0" applyNumberFormat="1" applyBorder="1"/>
    <xf numFmtId="44" fontId="0" fillId="0" borderId="3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2" fillId="4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65" fontId="15" fillId="0" borderId="0" xfId="0" applyNumberFormat="1" applyFont="1" applyAlignment="1">
      <alignment vertical="center" indent="2"/>
    </xf>
    <xf numFmtId="165" fontId="15" fillId="0" borderId="0" xfId="0" applyNumberFormat="1" applyFont="1" applyAlignment="1">
      <alignment horizontal="left" vertical="center" indent="2"/>
    </xf>
    <xf numFmtId="0" fontId="15" fillId="0" borderId="0" xfId="0" quotePrefix="1" applyFont="1" applyAlignment="1">
      <alignment vertical="center"/>
    </xf>
    <xf numFmtId="165" fontId="15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 indent="1"/>
    </xf>
    <xf numFmtId="0" fontId="32" fillId="36" borderId="0" xfId="0" applyFont="1" applyFill="1" applyAlignment="1">
      <alignment vertical="center"/>
    </xf>
    <xf numFmtId="0" fontId="15" fillId="0" borderId="53" xfId="0" applyFont="1" applyBorder="1" applyAlignment="1">
      <alignment horizontal="center" vertical="center"/>
    </xf>
    <xf numFmtId="0" fontId="42" fillId="37" borderId="53" xfId="0" applyFont="1" applyFill="1" applyBorder="1" applyAlignment="1">
      <alignment horizontal="center" vertical="center"/>
    </xf>
    <xf numFmtId="0" fontId="36" fillId="36" borderId="53" xfId="0" applyFont="1" applyFill="1" applyBorder="1" applyAlignment="1">
      <alignment horizontal="right" vertical="center"/>
    </xf>
    <xf numFmtId="0" fontId="32" fillId="0" borderId="53" xfId="0" applyFont="1" applyBorder="1" applyAlignment="1">
      <alignment horizontal="center" vertical="center"/>
    </xf>
    <xf numFmtId="1" fontId="32" fillId="0" borderId="53" xfId="0" applyNumberFormat="1" applyFont="1" applyBorder="1" applyAlignment="1">
      <alignment horizontal="center" vertical="center"/>
    </xf>
    <xf numFmtId="14" fontId="32" fillId="0" borderId="53" xfId="0" applyNumberFormat="1" applyFont="1" applyBorder="1" applyAlignment="1">
      <alignment horizontal="center" vertical="center"/>
    </xf>
    <xf numFmtId="0" fontId="24" fillId="38" borderId="53" xfId="0" applyFont="1" applyFill="1" applyBorder="1" applyAlignment="1">
      <alignment horizontal="right" vertical="center"/>
    </xf>
    <xf numFmtId="0" fontId="24" fillId="37" borderId="53" xfId="0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 wrapText="1"/>
    </xf>
    <xf numFmtId="0" fontId="24" fillId="37" borderId="53" xfId="0" applyFont="1" applyFill="1" applyBorder="1" applyAlignment="1">
      <alignment horizontal="center" vertical="center" wrapText="1"/>
    </xf>
    <xf numFmtId="172" fontId="32" fillId="0" borderId="53" xfId="0" applyNumberFormat="1" applyFont="1" applyBorder="1" applyAlignment="1">
      <alignment horizontal="center" vertical="center" indent="3"/>
    </xf>
    <xf numFmtId="172" fontId="32" fillId="0" borderId="53" xfId="0" applyNumberFormat="1" applyFont="1" applyBorder="1" applyAlignment="1">
      <alignment horizontal="center" vertical="center" indent="1"/>
    </xf>
    <xf numFmtId="172" fontId="32" fillId="0" borderId="53" xfId="0" applyNumberFormat="1" applyFont="1" applyBorder="1" applyAlignment="1">
      <alignment horizontal="center" vertical="center" wrapText="1"/>
    </xf>
    <xf numFmtId="0" fontId="37" fillId="0" borderId="61" xfId="0" applyFont="1" applyBorder="1" applyAlignment="1">
      <alignment horizontal="left" vertical="center"/>
    </xf>
    <xf numFmtId="0" fontId="42" fillId="37" borderId="52" xfId="0" applyFont="1" applyFill="1" applyBorder="1" applyAlignment="1">
      <alignment horizontal="center" vertical="center"/>
    </xf>
    <xf numFmtId="0" fontId="41" fillId="35" borderId="63" xfId="0" applyFont="1" applyFill="1" applyBorder="1" applyAlignment="1">
      <alignment horizontal="center" vertical="center"/>
    </xf>
    <xf numFmtId="0" fontId="21" fillId="36" borderId="51" xfId="0" applyFont="1" applyFill="1" applyBorder="1" applyAlignment="1">
      <alignment horizontal="center" vertical="center"/>
    </xf>
    <xf numFmtId="0" fontId="32" fillId="40" borderId="53" xfId="0" applyFont="1" applyFill="1" applyBorder="1" applyAlignment="1">
      <alignment horizontal="center" vertical="top" wrapText="1"/>
    </xf>
    <xf numFmtId="0" fontId="32" fillId="40" borderId="53" xfId="0" applyFont="1" applyFill="1" applyBorder="1" applyAlignment="1">
      <alignment horizontal="left" vertical="top" wrapText="1"/>
    </xf>
    <xf numFmtId="0" fontId="32" fillId="40" borderId="53" xfId="0" applyFont="1" applyFill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/>
    </xf>
    <xf numFmtId="0" fontId="36" fillId="36" borderId="53" xfId="0" applyFont="1" applyFill="1" applyBorder="1" applyAlignment="1">
      <alignment horizontal="center" vertical="center"/>
    </xf>
    <xf numFmtId="0" fontId="36" fillId="36" borderId="63" xfId="0" applyFont="1" applyFill="1" applyBorder="1" applyAlignment="1">
      <alignment horizontal="center" vertical="center"/>
    </xf>
    <xf numFmtId="0" fontId="36" fillId="36" borderId="2" xfId="0" applyFont="1" applyFill="1" applyBorder="1" applyAlignment="1">
      <alignment horizontal="center" vertical="center"/>
    </xf>
    <xf numFmtId="0" fontId="32" fillId="36" borderId="66" xfId="0" applyFont="1" applyFill="1" applyBorder="1" applyAlignment="1">
      <alignment horizontal="left" vertical="center"/>
    </xf>
    <xf numFmtId="14" fontId="1" fillId="0" borderId="5" xfId="0" applyNumberFormat="1" applyFont="1" applyBorder="1" applyAlignment="1">
      <alignment horizontal="center" vertical="center"/>
    </xf>
    <xf numFmtId="165" fontId="13" fillId="0" borderId="19" xfId="0" applyNumberFormat="1" applyFont="1" applyBorder="1" applyAlignment="1">
      <alignment horizontal="center"/>
    </xf>
    <xf numFmtId="44" fontId="15" fillId="0" borderId="19" xfId="0" applyNumberFormat="1" applyFont="1" applyBorder="1" applyAlignment="1">
      <alignment horizontal="center"/>
    </xf>
    <xf numFmtId="44" fontId="4" fillId="0" borderId="7" xfId="0" applyNumberFormat="1" applyFont="1" applyBorder="1" applyAlignment="1">
      <alignment horizontal="center"/>
    </xf>
    <xf numFmtId="44" fontId="0" fillId="0" borderId="20" xfId="0" applyNumberFormat="1" applyBorder="1" applyAlignment="1">
      <alignment horizontal="center"/>
    </xf>
    <xf numFmtId="0" fontId="13" fillId="0" borderId="68" xfId="0" applyFont="1" applyBorder="1" applyAlignment="1">
      <alignment horizontal="center"/>
    </xf>
    <xf numFmtId="0" fontId="0" fillId="0" borderId="69" xfId="0" applyBorder="1" applyAlignment="1">
      <alignment horizontal="center"/>
    </xf>
    <xf numFmtId="14" fontId="0" fillId="0" borderId="70" xfId="0" applyNumberFormat="1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13" fillId="0" borderId="71" xfId="0" applyFont="1" applyBorder="1" applyAlignment="1">
      <alignment horizontal="center"/>
    </xf>
    <xf numFmtId="0" fontId="0" fillId="0" borderId="72" xfId="0" applyBorder="1" applyAlignment="1">
      <alignment horizontal="center"/>
    </xf>
    <xf numFmtId="1" fontId="0" fillId="0" borderId="70" xfId="0" applyNumberFormat="1" applyBorder="1" applyAlignment="1">
      <alignment horizontal="center"/>
    </xf>
    <xf numFmtId="14" fontId="5" fillId="0" borderId="70" xfId="0" applyNumberFormat="1" applyFont="1" applyBorder="1" applyAlignment="1">
      <alignment horizontal="center"/>
    </xf>
    <xf numFmtId="0" fontId="0" fillId="0" borderId="73" xfId="0" applyBorder="1" applyAlignment="1">
      <alignment horizontal="center"/>
    </xf>
    <xf numFmtId="0" fontId="13" fillId="0" borderId="73" xfId="0" applyFont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0" borderId="74" xfId="0" applyFont="1" applyBorder="1" applyAlignment="1">
      <alignment horizontal="center"/>
    </xf>
    <xf numFmtId="14" fontId="13" fillId="0" borderId="68" xfId="0" applyNumberFormat="1" applyFont="1" applyBorder="1" applyAlignment="1">
      <alignment horizontal="center"/>
    </xf>
    <xf numFmtId="14" fontId="13" fillId="0" borderId="73" xfId="0" applyNumberFormat="1" applyFont="1" applyBorder="1" applyAlignment="1">
      <alignment horizontal="center"/>
    </xf>
    <xf numFmtId="1" fontId="13" fillId="0" borderId="69" xfId="0" applyNumberFormat="1" applyFont="1" applyBorder="1" applyAlignment="1">
      <alignment horizontal="center"/>
    </xf>
    <xf numFmtId="164" fontId="4" fillId="0" borderId="72" xfId="0" applyNumberFormat="1" applyFont="1" applyBorder="1" applyAlignment="1">
      <alignment horizontal="center"/>
    </xf>
    <xf numFmtId="14" fontId="0" fillId="0" borderId="71" xfId="0" applyNumberFormat="1" applyBorder="1" applyAlignment="1">
      <alignment horizontal="center"/>
    </xf>
    <xf numFmtId="0" fontId="5" fillId="0" borderId="69" xfId="0" applyFont="1" applyBorder="1" applyAlignment="1">
      <alignment horizontal="center"/>
    </xf>
    <xf numFmtId="1" fontId="4" fillId="0" borderId="69" xfId="0" applyNumberFormat="1" applyFont="1" applyBorder="1" applyAlignment="1">
      <alignment horizontal="center"/>
    </xf>
    <xf numFmtId="1" fontId="0" fillId="0" borderId="6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11" fillId="27" borderId="15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44" fontId="13" fillId="27" borderId="5" xfId="0" applyNumberFormat="1" applyFont="1" applyFill="1" applyBorder="1" applyAlignment="1">
      <alignment horizontal="center"/>
    </xf>
    <xf numFmtId="0" fontId="0" fillId="0" borderId="15" xfId="0" quotePrefix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44" fontId="15" fillId="27" borderId="1" xfId="2" applyNumberFormat="1" applyFont="1" applyFill="1" applyBorder="1" applyAlignment="1">
      <alignment horizontal="center" vertical="center"/>
    </xf>
    <xf numFmtId="0" fontId="0" fillId="0" borderId="76" xfId="0" applyBorder="1" applyAlignment="1">
      <alignment horizontal="center"/>
    </xf>
    <xf numFmtId="14" fontId="0" fillId="0" borderId="77" xfId="0" applyNumberFormat="1" applyBorder="1" applyAlignment="1">
      <alignment horizontal="center"/>
    </xf>
    <xf numFmtId="14" fontId="0" fillId="0" borderId="78" xfId="0" applyNumberForma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78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165" fontId="13" fillId="5" borderId="15" xfId="0" applyNumberFormat="1" applyFont="1" applyFill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3" borderId="19" xfId="0" applyFill="1" applyBorder="1"/>
    <xf numFmtId="3" fontId="0" fillId="0" borderId="14" xfId="0" applyNumberFormat="1" applyBorder="1" applyAlignment="1">
      <alignment horizontal="center"/>
    </xf>
    <xf numFmtId="0" fontId="46" fillId="39" borderId="34" xfId="0" applyFont="1" applyFill="1" applyBorder="1" applyAlignment="1">
      <alignment horizontal="center"/>
    </xf>
    <xf numFmtId="0" fontId="45" fillId="27" borderId="35" xfId="0" applyFont="1" applyFill="1" applyBorder="1" applyAlignment="1">
      <alignment horizontal="center"/>
    </xf>
    <xf numFmtId="14" fontId="45" fillId="27" borderId="35" xfId="0" applyNumberFormat="1" applyFont="1" applyFill="1" applyBorder="1" applyAlignment="1">
      <alignment horizontal="center"/>
    </xf>
    <xf numFmtId="0" fontId="45" fillId="27" borderId="36" xfId="0" applyFont="1" applyFill="1" applyBorder="1" applyAlignment="1">
      <alignment horizontal="center"/>
    </xf>
    <xf numFmtId="166" fontId="45" fillId="27" borderId="35" xfId="0" applyNumberFormat="1" applyFont="1" applyFill="1" applyBorder="1" applyAlignment="1">
      <alignment horizontal="center"/>
    </xf>
    <xf numFmtId="0" fontId="45" fillId="3" borderId="35" xfId="0" applyFont="1" applyFill="1" applyBorder="1" applyAlignment="1">
      <alignment horizontal="center"/>
    </xf>
    <xf numFmtId="1" fontId="18" fillId="7" borderId="5" xfId="0" quotePrefix="1" applyNumberFormat="1" applyFont="1" applyFill="1" applyBorder="1" applyAlignment="1">
      <alignment horizontal="center"/>
    </xf>
    <xf numFmtId="0" fontId="45" fillId="27" borderId="40" xfId="0" applyFont="1" applyFill="1" applyBorder="1" applyAlignment="1">
      <alignment horizontal="center"/>
    </xf>
    <xf numFmtId="14" fontId="45" fillId="27" borderId="40" xfId="0" applyNumberFormat="1" applyFont="1" applyFill="1" applyBorder="1" applyAlignment="1">
      <alignment horizontal="center"/>
    </xf>
    <xf numFmtId="166" fontId="45" fillId="27" borderId="40" xfId="0" applyNumberFormat="1" applyFont="1" applyFill="1" applyBorder="1" applyAlignment="1">
      <alignment horizontal="center"/>
    </xf>
    <xf numFmtId="0" fontId="47" fillId="18" borderId="30" xfId="0" applyFont="1" applyFill="1" applyBorder="1" applyAlignment="1">
      <alignment horizontal="center"/>
    </xf>
    <xf numFmtId="0" fontId="45" fillId="27" borderId="32" xfId="0" applyFont="1" applyFill="1" applyBorder="1" applyAlignment="1">
      <alignment horizontal="center"/>
    </xf>
    <xf numFmtId="14" fontId="45" fillId="27" borderId="32" xfId="0" applyNumberFormat="1" applyFont="1" applyFill="1" applyBorder="1" applyAlignment="1">
      <alignment horizontal="center"/>
    </xf>
    <xf numFmtId="166" fontId="45" fillId="27" borderId="32" xfId="0" applyNumberFormat="1" applyFont="1" applyFill="1" applyBorder="1" applyAlignment="1">
      <alignment horizontal="center"/>
    </xf>
    <xf numFmtId="0" fontId="45" fillId="27" borderId="33" xfId="0" applyFont="1" applyFill="1" applyBorder="1" applyAlignment="1">
      <alignment horizontal="center"/>
    </xf>
    <xf numFmtId="0" fontId="45" fillId="27" borderId="45" xfId="0" applyFont="1" applyFill="1" applyBorder="1" applyAlignment="1">
      <alignment horizontal="center"/>
    </xf>
    <xf numFmtId="14" fontId="45" fillId="3" borderId="40" xfId="0" applyNumberFormat="1" applyFont="1" applyFill="1" applyBorder="1" applyAlignment="1">
      <alignment horizontal="center"/>
    </xf>
    <xf numFmtId="0" fontId="18" fillId="7" borderId="35" xfId="0" applyFont="1" applyFill="1" applyBorder="1" applyAlignment="1">
      <alignment horizontal="center" wrapText="1"/>
    </xf>
    <xf numFmtId="0" fontId="46" fillId="22" borderId="39" xfId="0" applyFont="1" applyFill="1" applyBorder="1" applyAlignment="1">
      <alignment horizontal="center"/>
    </xf>
    <xf numFmtId="14" fontId="45" fillId="0" borderId="40" xfId="0" applyNumberFormat="1" applyFont="1" applyBorder="1" applyAlignment="1">
      <alignment horizontal="center"/>
    </xf>
    <xf numFmtId="44" fontId="15" fillId="0" borderId="5" xfId="2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4" fontId="13" fillId="0" borderId="20" xfId="0" applyNumberFormat="1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0" fontId="10" fillId="27" borderId="19" xfId="0" applyFont="1" applyFill="1" applyBorder="1" applyAlignment="1">
      <alignment horizontal="center"/>
    </xf>
    <xf numFmtId="165" fontId="13" fillId="27" borderId="4" xfId="0" applyNumberFormat="1" applyFont="1" applyFill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44" fontId="15" fillId="0" borderId="1" xfId="2" applyNumberFormat="1" applyFont="1" applyBorder="1" applyAlignment="1">
      <alignment horizontal="center" vertical="center"/>
    </xf>
    <xf numFmtId="0" fontId="0" fillId="27" borderId="81" xfId="0" applyFill="1" applyBorder="1" applyAlignment="1">
      <alignment horizontal="center"/>
    </xf>
    <xf numFmtId="0" fontId="0" fillId="27" borderId="82" xfId="0" applyFill="1" applyBorder="1" applyAlignment="1">
      <alignment horizontal="center"/>
    </xf>
    <xf numFmtId="14" fontId="0" fillId="27" borderId="82" xfId="0" applyNumberFormat="1" applyFill="1" applyBorder="1" applyAlignment="1">
      <alignment horizontal="center"/>
    </xf>
    <xf numFmtId="0" fontId="0" fillId="27" borderId="80" xfId="0" applyFill="1" applyBorder="1" applyAlignment="1">
      <alignment horizontal="center"/>
    </xf>
    <xf numFmtId="0" fontId="0" fillId="27" borderId="78" xfId="0" applyFill="1" applyBorder="1" applyAlignment="1">
      <alignment horizontal="center"/>
    </xf>
    <xf numFmtId="44" fontId="0" fillId="27" borderId="14" xfId="0" applyNumberFormat="1" applyFill="1" applyBorder="1" applyAlignment="1">
      <alignment horizontal="center"/>
    </xf>
    <xf numFmtId="1" fontId="13" fillId="0" borderId="2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" fontId="5" fillId="0" borderId="9" xfId="0" quotePrefix="1" applyNumberFormat="1" applyFont="1" applyBorder="1" applyAlignment="1">
      <alignment horizontal="center"/>
    </xf>
    <xf numFmtId="14" fontId="0" fillId="0" borderId="1" xfId="0" applyNumberFormat="1" applyBorder="1"/>
    <xf numFmtId="0" fontId="0" fillId="0" borderId="83" xfId="0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8" fillId="0" borderId="5" xfId="0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14" fontId="50" fillId="7" borderId="5" xfId="0" applyNumberFormat="1" applyFont="1" applyFill="1" applyBorder="1" applyAlignment="1">
      <alignment horizontal="center"/>
    </xf>
    <xf numFmtId="0" fontId="50" fillId="7" borderId="5" xfId="0" applyFont="1" applyFill="1" applyBorder="1" applyAlignment="1">
      <alignment horizontal="center"/>
    </xf>
    <xf numFmtId="0" fontId="49" fillId="0" borderId="2" xfId="0" applyFont="1" applyBorder="1" applyAlignment="1">
      <alignment horizontal="center"/>
    </xf>
    <xf numFmtId="14" fontId="50" fillId="7" borderId="1" xfId="0" applyNumberFormat="1" applyFont="1" applyFill="1" applyBorder="1" applyAlignment="1">
      <alignment horizontal="center"/>
    </xf>
    <xf numFmtId="0" fontId="50" fillId="7" borderId="1" xfId="0" applyFont="1" applyFill="1" applyBorder="1" applyAlignment="1">
      <alignment horizontal="center"/>
    </xf>
    <xf numFmtId="0" fontId="49" fillId="0" borderId="6" xfId="0" applyFont="1" applyBorder="1" applyAlignment="1">
      <alignment horizontal="center"/>
    </xf>
    <xf numFmtId="14" fontId="49" fillId="0" borderId="5" xfId="0" applyNumberFormat="1" applyFont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1" fontId="32" fillId="7" borderId="5" xfId="0" quotePrefix="1" applyNumberFormat="1" applyFont="1" applyFill="1" applyBorder="1" applyAlignment="1">
      <alignment horizontal="center"/>
    </xf>
    <xf numFmtId="14" fontId="32" fillId="7" borderId="6" xfId="0" applyNumberFormat="1" applyFont="1" applyFill="1" applyBorder="1" applyAlignment="1">
      <alignment horizontal="center"/>
    </xf>
    <xf numFmtId="1" fontId="32" fillId="7" borderId="1" xfId="0" applyNumberFormat="1" applyFont="1" applyFill="1" applyBorder="1" applyAlignment="1">
      <alignment horizontal="center"/>
    </xf>
    <xf numFmtId="8" fontId="32" fillId="7" borderId="2" xfId="0" applyNumberFormat="1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21" fillId="2" borderId="5" xfId="0" applyFont="1" applyFill="1" applyBorder="1"/>
    <xf numFmtId="14" fontId="48" fillId="0" borderId="5" xfId="0" applyNumberFormat="1" applyFont="1" applyBorder="1" applyAlignment="1">
      <alignment horizontal="center"/>
    </xf>
    <xf numFmtId="165" fontId="48" fillId="0" borderId="6" xfId="0" applyNumberFormat="1" applyFont="1" applyBorder="1" applyAlignment="1">
      <alignment horizontal="center"/>
    </xf>
    <xf numFmtId="0" fontId="48" fillId="0" borderId="1" xfId="0" applyFont="1" applyBorder="1"/>
    <xf numFmtId="165" fontId="48" fillId="0" borderId="1" xfId="0" applyNumberFormat="1" applyFont="1" applyBorder="1"/>
    <xf numFmtId="14" fontId="48" fillId="0" borderId="1" xfId="0" applyNumberFormat="1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44" fontId="32" fillId="7" borderId="2" xfId="0" applyNumberFormat="1" applyFont="1" applyFill="1" applyBorder="1" applyAlignment="1">
      <alignment horizontal="center"/>
    </xf>
    <xf numFmtId="0" fontId="48" fillId="0" borderId="14" xfId="0" applyFont="1" applyBorder="1" applyAlignment="1">
      <alignment horizontal="center"/>
    </xf>
    <xf numFmtId="44" fontId="32" fillId="7" borderId="6" xfId="0" applyNumberFormat="1" applyFont="1" applyFill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48" fillId="0" borderId="14" xfId="0" applyFont="1" applyBorder="1"/>
    <xf numFmtId="0" fontId="48" fillId="0" borderId="5" xfId="0" applyFont="1" applyBorder="1"/>
    <xf numFmtId="14" fontId="48" fillId="0" borderId="6" xfId="0" applyNumberFormat="1" applyFont="1" applyBorder="1" applyAlignment="1">
      <alignment horizontal="center"/>
    </xf>
    <xf numFmtId="165" fontId="48" fillId="0" borderId="5" xfId="0" applyNumberFormat="1" applyFont="1" applyBorder="1"/>
    <xf numFmtId="8" fontId="32" fillId="7" borderId="5" xfId="0" applyNumberFormat="1" applyFont="1" applyFill="1" applyBorder="1" applyAlignment="1">
      <alignment horizontal="center"/>
    </xf>
    <xf numFmtId="0" fontId="32" fillId="7" borderId="5" xfId="0" quotePrefix="1" applyFont="1" applyFill="1" applyBorder="1" applyAlignment="1">
      <alignment horizontal="center"/>
    </xf>
    <xf numFmtId="44" fontId="32" fillId="7" borderId="1" xfId="0" applyNumberFormat="1" applyFont="1" applyFill="1" applyBorder="1" applyAlignment="1">
      <alignment horizontal="center"/>
    </xf>
    <xf numFmtId="44" fontId="32" fillId="7" borderId="5" xfId="0" applyNumberFormat="1" applyFont="1" applyFill="1" applyBorder="1" applyAlignment="1">
      <alignment horizontal="center"/>
    </xf>
    <xf numFmtId="44" fontId="48" fillId="0" borderId="6" xfId="0" applyNumberFormat="1" applyFont="1" applyBorder="1" applyAlignment="1">
      <alignment horizontal="center"/>
    </xf>
    <xf numFmtId="14" fontId="48" fillId="0" borderId="2" xfId="0" applyNumberFormat="1" applyFont="1" applyBorder="1" applyAlignment="1">
      <alignment horizontal="center"/>
    </xf>
    <xf numFmtId="14" fontId="45" fillId="0" borderId="32" xfId="0" applyNumberFormat="1" applyFont="1" applyBorder="1" applyAlignment="1">
      <alignment horizontal="center"/>
    </xf>
    <xf numFmtId="0" fontId="47" fillId="16" borderId="34" xfId="0" applyFont="1" applyFill="1" applyBorder="1" applyAlignment="1">
      <alignment horizontal="center"/>
    </xf>
    <xf numFmtId="0" fontId="47" fillId="15" borderId="34" xfId="0" applyFont="1" applyFill="1" applyBorder="1" applyAlignment="1">
      <alignment horizontal="center"/>
    </xf>
    <xf numFmtId="0" fontId="47" fillId="32" borderId="35" xfId="0" applyFont="1" applyFill="1" applyBorder="1" applyAlignment="1">
      <alignment horizontal="center" wrapText="1"/>
    </xf>
    <xf numFmtId="0" fontId="47" fillId="16" borderId="39" xfId="0" applyFont="1" applyFill="1" applyBorder="1" applyAlignment="1">
      <alignment horizontal="center"/>
    </xf>
    <xf numFmtId="0" fontId="47" fillId="15" borderId="30" xfId="0" applyFont="1" applyFill="1" applyBorder="1" applyAlignment="1">
      <alignment horizontal="center"/>
    </xf>
    <xf numFmtId="0" fontId="47" fillId="19" borderId="39" xfId="0" applyFont="1" applyFill="1" applyBorder="1" applyAlignment="1">
      <alignment horizontal="center"/>
    </xf>
    <xf numFmtId="0" fontId="18" fillId="3" borderId="35" xfId="0" applyFont="1" applyFill="1" applyBorder="1" applyAlignment="1">
      <alignment horizontal="center"/>
    </xf>
    <xf numFmtId="14" fontId="18" fillId="3" borderId="35" xfId="0" applyNumberFormat="1" applyFont="1" applyFill="1" applyBorder="1" applyAlignment="1">
      <alignment horizontal="center"/>
    </xf>
    <xf numFmtId="8" fontId="18" fillId="3" borderId="35" xfId="0" applyNumberFormat="1" applyFont="1" applyFill="1" applyBorder="1" applyAlignment="1">
      <alignment horizontal="center"/>
    </xf>
    <xf numFmtId="1" fontId="18" fillId="3" borderId="36" xfId="0" applyNumberFormat="1" applyFont="1" applyFill="1" applyBorder="1" applyAlignment="1">
      <alignment horizontal="center"/>
    </xf>
    <xf numFmtId="4" fontId="13" fillId="34" borderId="1" xfId="0" applyNumberFormat="1" applyFont="1" applyFill="1" applyBorder="1" applyAlignment="1">
      <alignment horizontal="left"/>
    </xf>
    <xf numFmtId="44" fontId="13" fillId="0" borderId="5" xfId="0" applyNumberFormat="1" applyFont="1" applyBorder="1" applyAlignment="1">
      <alignment horizontal="right"/>
    </xf>
    <xf numFmtId="44" fontId="15" fillId="0" borderId="6" xfId="0" applyNumberFormat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4" fontId="13" fillId="3" borderId="20" xfId="0" applyNumberFormat="1" applyFont="1" applyFill="1" applyBorder="1" applyAlignment="1">
      <alignment horizontal="center"/>
    </xf>
    <xf numFmtId="4" fontId="13" fillId="0" borderId="16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/>
    <xf numFmtId="0" fontId="13" fillId="4" borderId="3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44" fontId="15" fillId="3" borderId="5" xfId="0" applyNumberFormat="1" applyFont="1" applyFill="1" applyBorder="1" applyAlignment="1">
      <alignment horizontal="center"/>
    </xf>
    <xf numFmtId="1" fontId="0" fillId="0" borderId="0" xfId="0" applyNumberFormat="1"/>
    <xf numFmtId="4" fontId="0" fillId="0" borderId="14" xfId="0" applyNumberFormat="1" applyBorder="1" applyAlignment="1">
      <alignment horizontal="left"/>
    </xf>
    <xf numFmtId="2" fontId="0" fillId="0" borderId="0" xfId="0" applyNumberFormat="1" applyAlignment="1">
      <alignment horizontal="center"/>
    </xf>
    <xf numFmtId="2" fontId="51" fillId="0" borderId="0" xfId="5" quotePrefix="1" applyNumberFormat="1" applyFont="1" applyAlignment="1">
      <alignment horizontal="center"/>
    </xf>
    <xf numFmtId="0" fontId="52" fillId="0" borderId="15" xfId="0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165" fontId="15" fillId="0" borderId="15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left"/>
    </xf>
    <xf numFmtId="0" fontId="22" fillId="4" borderId="18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22" fillId="4" borderId="6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44" fontId="13" fillId="27" borderId="1" xfId="0" applyNumberFormat="1" applyFont="1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1" fillId="35" borderId="53" xfId="0" applyFont="1" applyFill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35" fillId="35" borderId="55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172" fontId="39" fillId="38" borderId="58" xfId="0" applyNumberFormat="1" applyFont="1" applyFill="1" applyBorder="1" applyAlignment="1">
      <alignment horizontal="center" vertical="center" indent="2"/>
    </xf>
    <xf numFmtId="165" fontId="39" fillId="38" borderId="59" xfId="0" applyNumberFormat="1" applyFont="1" applyFill="1" applyBorder="1" applyAlignment="1">
      <alignment horizontal="center" vertical="center" indent="2"/>
    </xf>
    <xf numFmtId="165" fontId="39" fillId="38" borderId="60" xfId="0" applyNumberFormat="1" applyFont="1" applyFill="1" applyBorder="1" applyAlignment="1">
      <alignment horizontal="center" vertical="center" indent="2"/>
    </xf>
    <xf numFmtId="0" fontId="32" fillId="36" borderId="39" xfId="0" applyFont="1" applyFill="1" applyBorder="1" applyAlignment="1">
      <alignment horizontal="left" vertical="center"/>
    </xf>
    <xf numFmtId="0" fontId="32" fillId="36" borderId="45" xfId="0" applyFont="1" applyFill="1" applyBorder="1" applyAlignment="1">
      <alignment horizontal="left" vertical="center"/>
    </xf>
    <xf numFmtId="0" fontId="36" fillId="36" borderId="30" xfId="0" applyFont="1" applyFill="1" applyBorder="1" applyAlignment="1">
      <alignment horizontal="center" vertical="center"/>
    </xf>
    <xf numFmtId="0" fontId="32" fillId="36" borderId="33" xfId="0" applyFont="1" applyFill="1" applyBorder="1" applyAlignment="1">
      <alignment horizontal="center" vertical="center"/>
    </xf>
    <xf numFmtId="0" fontId="40" fillId="0" borderId="65" xfId="0" applyFont="1" applyBorder="1" applyAlignment="1">
      <alignment horizontal="center" vertical="center" wrapText="1"/>
    </xf>
    <xf numFmtId="0" fontId="40" fillId="0" borderId="64" xfId="0" applyFont="1" applyBorder="1" applyAlignment="1">
      <alignment horizontal="center" vertical="center"/>
    </xf>
    <xf numFmtId="0" fontId="40" fillId="0" borderId="53" xfId="0" applyFont="1" applyBorder="1" applyAlignment="1">
      <alignment horizontal="center" vertical="center"/>
    </xf>
    <xf numFmtId="172" fontId="24" fillId="38" borderId="53" xfId="0" applyNumberFormat="1" applyFont="1" applyFill="1" applyBorder="1" applyAlignment="1">
      <alignment horizontal="center" vertical="center" indent="15"/>
    </xf>
    <xf numFmtId="165" fontId="24" fillId="38" borderId="53" xfId="0" applyNumberFormat="1" applyFont="1" applyFill="1" applyBorder="1" applyAlignment="1">
      <alignment horizontal="left" vertical="center" indent="15"/>
    </xf>
    <xf numFmtId="0" fontId="15" fillId="35" borderId="53" xfId="0" applyFont="1" applyFill="1" applyBorder="1" applyAlignment="1">
      <alignment horizontal="center" vertical="center"/>
    </xf>
    <xf numFmtId="0" fontId="43" fillId="39" borderId="53" xfId="0" applyFont="1" applyFill="1" applyBorder="1" applyAlignment="1">
      <alignment horizontal="center" vertical="center"/>
    </xf>
    <xf numFmtId="0" fontId="44" fillId="39" borderId="53" xfId="0" applyFont="1" applyFill="1" applyBorder="1" applyAlignment="1">
      <alignment horizontal="center" vertical="center"/>
    </xf>
    <xf numFmtId="0" fontId="38" fillId="0" borderId="30" xfId="0" applyFont="1" applyBorder="1" applyAlignment="1">
      <alignment horizontal="left" vertical="center"/>
    </xf>
    <xf numFmtId="0" fontId="38" fillId="0" borderId="31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center"/>
    </xf>
    <xf numFmtId="0" fontId="38" fillId="0" borderId="50" xfId="0" applyFont="1" applyBorder="1" applyAlignment="1">
      <alignment horizontal="left" vertical="center"/>
    </xf>
    <xf numFmtId="0" fontId="39" fillId="0" borderId="31" xfId="0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5" fontId="2" fillId="0" borderId="39" xfId="0" applyNumberFormat="1" applyFont="1" applyBorder="1" applyAlignment="1">
      <alignment horizontal="left" vertical="center"/>
    </xf>
    <xf numFmtId="165" fontId="2" fillId="0" borderId="45" xfId="0" applyNumberFormat="1" applyFont="1" applyBorder="1" applyAlignment="1">
      <alignment horizontal="left" vertical="center"/>
    </xf>
    <xf numFmtId="1" fontId="2" fillId="0" borderId="39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1" fillId="27" borderId="0" xfId="0" applyFont="1" applyFill="1" applyAlignment="1">
      <alignment horizontal="center" vertical="center"/>
    </xf>
    <xf numFmtId="0" fontId="19" fillId="14" borderId="2" xfId="0" applyFont="1" applyFill="1" applyBorder="1" applyAlignment="1">
      <alignment horizontal="center"/>
    </xf>
    <xf numFmtId="0" fontId="19" fillId="14" borderId="7" xfId="0" applyFont="1" applyFill="1" applyBorder="1" applyAlignment="1">
      <alignment horizontal="center"/>
    </xf>
    <xf numFmtId="0" fontId="31" fillId="4" borderId="30" xfId="0" applyFont="1" applyFill="1" applyBorder="1" applyAlignment="1">
      <alignment horizontal="center" vertical="center"/>
    </xf>
    <xf numFmtId="0" fontId="31" fillId="4" borderId="31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33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1" fillId="4" borderId="4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0" fillId="0" borderId="0" xfId="0" applyNumberFormat="1" applyAlignment="1">
      <alignment horizontal="center" indent="1"/>
    </xf>
    <xf numFmtId="0" fontId="0" fillId="0" borderId="0" xfId="0" applyAlignment="1">
      <alignment horizontal="center" indent="1"/>
    </xf>
  </cellXfs>
  <cellStyles count="6">
    <cellStyle name="Hyperlink" xfId="5" xr:uid="{00000000-000B-0000-0000-000008000000}"/>
    <cellStyle name="Moeda 2" xfId="3" xr:uid="{DE507B03-3051-4B94-AF3E-23765247AAA0}"/>
    <cellStyle name="NívelLinha_4" xfId="1" builtinId="1" iLevel="3"/>
    <cellStyle name="Normal" xfId="0" builtinId="0"/>
    <cellStyle name="Normal 2" xfId="4" xr:uid="{8A357E5A-3812-4F11-98CB-DE5593B0A297}"/>
    <cellStyle name="Normal 2 2" xfId="2" xr:uid="{6A2ECFBB-68DB-4BFB-8556-D6CF014AA04E}"/>
  </cellStyles>
  <dxfs count="1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colors>
    <mruColors>
      <color rgb="FF4472C4"/>
      <color rgb="FFF071E3"/>
      <color rgb="FFF013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-133350</xdr:colOff>
      <xdr:row>6</xdr:row>
      <xdr:rowOff>9525</xdr:rowOff>
    </xdr:from>
    <xdr:to>
      <xdr:col>0</xdr:col>
      <xdr:colOff>-133350</xdr:colOff>
      <xdr:row>6</xdr:row>
      <xdr:rowOff>9525</xdr:rowOff>
    </xdr:to>
    <xdr:sp macro="" textlink="">
      <xdr:nvSpPr>
        <xdr:cNvPr id="2" name="Seta para Baixo 1">
          <a:extLst>
            <a:ext uri="{FF2B5EF4-FFF2-40B4-BE49-F238E27FC236}">
              <a16:creationId xmlns:a16="http://schemas.microsoft.com/office/drawing/2014/main" id="{C0A6F732-578A-CF2C-BC07-FD18982937F6}"/>
            </a:ext>
          </a:extLst>
        </xdr:cNvPr>
        <xdr:cNvSpPr/>
      </xdr:nvSpPr>
      <xdr:spPr>
        <a:xfrm>
          <a:off x="-133350" y="1152525"/>
          <a:ext cx="0" cy="0"/>
        </a:xfrm>
        <a:prstGeom prst="downArrow">
          <a:avLst/>
        </a:prstGeom>
        <a:solidFill>
          <a:srgbClr val="F071E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114300</xdr:colOff>
      <xdr:row>15</xdr:row>
      <xdr:rowOff>95250</xdr:rowOff>
    </xdr:from>
    <xdr:to>
      <xdr:col>2</xdr:col>
      <xdr:colOff>114300</xdr:colOff>
      <xdr:row>15</xdr:row>
      <xdr:rowOff>95250</xdr:rowOff>
    </xdr:to>
    <xdr:sp macro="" textlink="">
      <xdr:nvSpPr>
        <xdr:cNvPr id="3" name="Seta para Baixo 2">
          <a:extLst>
            <a:ext uri="{FF2B5EF4-FFF2-40B4-BE49-F238E27FC236}">
              <a16:creationId xmlns:a16="http://schemas.microsoft.com/office/drawing/2014/main" id="{B588B28D-449D-9515-0129-20E92E7C8496}"/>
            </a:ext>
            <a:ext uri="{147F2762-F138-4A5C-976F-8EAC2B608ADB}">
              <a16:predDERef xmlns:a16="http://schemas.microsoft.com/office/drawing/2014/main" pred="{C0A6F732-578A-CF2C-BC07-FD18982937F6}"/>
            </a:ext>
          </a:extLst>
        </xdr:cNvPr>
        <xdr:cNvSpPr/>
      </xdr:nvSpPr>
      <xdr:spPr>
        <a:xfrm>
          <a:off x="1704975" y="3657600"/>
          <a:ext cx="0" cy="0"/>
        </a:xfrm>
        <a:prstGeom prst="downArrow">
          <a:avLst/>
        </a:prstGeom>
        <a:solidFill>
          <a:srgbClr val="F071E3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risalojas.sharepoint.com/sites/RedeseTelecom375/Documentos%20Compartilhados/#Redes/Wi-fi/Projetos/Lojas Geral Atualizado.xlsx" TargetMode="External"/><Relationship Id="rId1" Type="http://schemas.openxmlformats.org/officeDocument/2006/relationships/externalLinkPath" Target="https://marisalojas.sharepoint.com/sites/RedeseTelecom375/Documentos%20Compartilhados/#Redes/Wi-fi/Projetos/Lojas Geral A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mdDPujWW0uZPSJ1OR0ikRVT6znslk5HvAM8QM8uMnoR5ZTR2dKPRrM7H0Cc8NVt" itemId="01TTL2PEOP6JPWDQO6SBBLJK2SO63K7YVN">
      <xxl21:absoluteUrl r:id="rId2"/>
    </xxl21:alternateUrls>
    <sheetNames>
      <sheetName val="Base Lojas"/>
      <sheetName val="Range IP Lojas"/>
      <sheetName val="Antenas Lojas"/>
      <sheetName val="Switches Lojas"/>
      <sheetName val="Seg Patrimonial Lojas"/>
      <sheetName val="Telefonia IP Lojas"/>
      <sheetName val="TelMov"/>
      <sheetName val="Planilha1"/>
    </sheetNames>
    <sheetDataSet>
      <sheetData sheetId="0"/>
      <sheetData sheetId="1"/>
      <sheetData sheetId="2">
        <row r="3">
          <cell r="A3">
            <v>22</v>
          </cell>
          <cell r="B3" t="str">
            <v>Azenha</v>
          </cell>
          <cell r="C3" t="str">
            <v>rs</v>
          </cell>
          <cell r="D3" t="str">
            <v>G/GG</v>
          </cell>
          <cell r="E3" t="str">
            <v>GG</v>
          </cell>
          <cell r="F3">
            <v>5</v>
          </cell>
          <cell r="G3" t="str">
            <v>IAP</v>
          </cell>
          <cell r="H3" t="str">
            <v>Aruba - 205     Aruba - 205     Aruba - 205     Aruba - 205     Aruba - 205</v>
          </cell>
        </row>
        <row r="4">
          <cell r="A4">
            <v>43</v>
          </cell>
          <cell r="B4" t="str">
            <v xml:space="preserve">São Caetano do Sul </v>
          </cell>
          <cell r="C4" t="str">
            <v>sp</v>
          </cell>
          <cell r="D4" t="str">
            <v>P/M</v>
          </cell>
          <cell r="E4" t="str">
            <v>G</v>
          </cell>
          <cell r="F4">
            <v>6</v>
          </cell>
          <cell r="G4" t="str">
            <v>IAP</v>
          </cell>
          <cell r="H4" t="str">
            <v>Aruba - 303     Aruba - 303     Aruba - 303     Aruba - 303     Aruba - 303     Aruba -303</v>
          </cell>
        </row>
        <row r="5">
          <cell r="A5">
            <v>80</v>
          </cell>
          <cell r="B5" t="str">
            <v xml:space="preserve">Campina Grande </v>
          </cell>
          <cell r="C5" t="str">
            <v>pb</v>
          </cell>
          <cell r="D5" t="str">
            <v>G/GG</v>
          </cell>
          <cell r="E5" t="str">
            <v>G</v>
          </cell>
          <cell r="F5">
            <v>6</v>
          </cell>
          <cell r="G5" t="str">
            <v>Ubiquiti</v>
          </cell>
          <cell r="H5" t="str">
            <v>UAP-AC-LR     UAP-AC-LR     UAP-AC-LR     UAP-AC-LR     UAP-AC-LR     UAP-AC-LR</v>
          </cell>
        </row>
        <row r="6">
          <cell r="A6">
            <v>87</v>
          </cell>
          <cell r="B6" t="str">
            <v xml:space="preserve">Teresina (Centro) </v>
          </cell>
          <cell r="C6" t="str">
            <v>pi</v>
          </cell>
          <cell r="D6" t="str">
            <v>G/GG</v>
          </cell>
          <cell r="E6" t="str">
            <v>G</v>
          </cell>
          <cell r="F6">
            <v>6</v>
          </cell>
          <cell r="G6" t="str">
            <v>IAP</v>
          </cell>
          <cell r="H6" t="str">
            <v>Aruba - 205     Aruba - 205     Aruba - 205     Aruba - 205     Aruba - 205     Aruba - 205</v>
          </cell>
        </row>
        <row r="7">
          <cell r="A7">
            <v>120</v>
          </cell>
          <cell r="B7" t="str">
            <v xml:space="preserve">São Luiz </v>
          </cell>
          <cell r="C7" t="str">
            <v>ma</v>
          </cell>
          <cell r="D7" t="str">
            <v>P/M</v>
          </cell>
          <cell r="E7" t="str">
            <v>PP</v>
          </cell>
          <cell r="F7">
            <v>5</v>
          </cell>
          <cell r="G7" t="str">
            <v>IAP</v>
          </cell>
          <cell r="H7" t="str">
            <v>Aruba - 205     Aruba - 205     Aruba - 205     Aruba - 205</v>
          </cell>
        </row>
        <row r="8">
          <cell r="A8">
            <v>125</v>
          </cell>
          <cell r="B8" t="str">
            <v xml:space="preserve">Aracajú </v>
          </cell>
          <cell r="C8" t="str">
            <v>se</v>
          </cell>
          <cell r="D8" t="str">
            <v>G/GG</v>
          </cell>
          <cell r="E8" t="str">
            <v>G</v>
          </cell>
          <cell r="F8">
            <v>5</v>
          </cell>
          <cell r="G8" t="str">
            <v>Ubiquiti</v>
          </cell>
          <cell r="H8" t="str">
            <v>UAP-AC-LR     UAP-AC-LR     UAP-AC-LR     UAP-AC-LR     UAP-AC-LR</v>
          </cell>
        </row>
        <row r="9">
          <cell r="A9">
            <v>130</v>
          </cell>
          <cell r="B9" t="str">
            <v xml:space="preserve">Florianópolis </v>
          </cell>
          <cell r="C9" t="str">
            <v>sc</v>
          </cell>
          <cell r="D9" t="str">
            <v>G/GG</v>
          </cell>
          <cell r="E9" t="str">
            <v>M</v>
          </cell>
          <cell r="F9">
            <v>6</v>
          </cell>
          <cell r="G9" t="str">
            <v>IAP</v>
          </cell>
          <cell r="H9" t="str">
            <v xml:space="preserve">Aruba - 205 Aruba - 205 Aruba - 205 Aruba - 205     Aruba - 205     Aruba - 205  </v>
          </cell>
        </row>
        <row r="10">
          <cell r="A10">
            <v>135</v>
          </cell>
          <cell r="B10" t="str">
            <v xml:space="preserve">Shop. Mueller Joinville </v>
          </cell>
          <cell r="C10" t="str">
            <v>sc</v>
          </cell>
          <cell r="D10" t="str">
            <v>G/GG</v>
          </cell>
          <cell r="E10" t="str">
            <v>G</v>
          </cell>
          <cell r="F10">
            <v>5</v>
          </cell>
          <cell r="G10" t="str">
            <v>IAP</v>
          </cell>
          <cell r="H10" t="str">
            <v xml:space="preserve">Aruba - 205      Aruba - 205        Aruba - 205      Aruba - 205      Aruba - 205      </v>
          </cell>
        </row>
        <row r="11">
          <cell r="A11">
            <v>136</v>
          </cell>
          <cell r="B11" t="str">
            <v xml:space="preserve">Shop. Metrópole </v>
          </cell>
          <cell r="C11" t="str">
            <v>sp</v>
          </cell>
          <cell r="D11" t="str">
            <v>G/GG</v>
          </cell>
          <cell r="E11" t="str">
            <v>GG</v>
          </cell>
          <cell r="F11">
            <v>5</v>
          </cell>
          <cell r="G11" t="str">
            <v>IAP</v>
          </cell>
          <cell r="H11" t="str">
            <v>Aruba - 303     Aruba - 303     Aruba - 303     Aruba - 303     Aruba - 303</v>
          </cell>
        </row>
        <row r="12">
          <cell r="A12">
            <v>140</v>
          </cell>
          <cell r="B12" t="str">
            <v>River Shopping ..</v>
          </cell>
          <cell r="C12" t="str">
            <v>pe</v>
          </cell>
          <cell r="D12" t="str">
            <v>G/GG</v>
          </cell>
          <cell r="E12" t="str">
            <v>GG</v>
          </cell>
          <cell r="F12">
            <v>7</v>
          </cell>
          <cell r="G12" t="str">
            <v>Ubiquiti</v>
          </cell>
          <cell r="H12" t="str">
            <v xml:space="preserve">UAP-AC-LR UAP-AC-LR UAP-AC-LR UAP-AC-LR UAP-AC-LR UAP-AC-LR UAP-AC-LR </v>
          </cell>
        </row>
        <row r="13">
          <cell r="A13">
            <v>142</v>
          </cell>
          <cell r="B13" t="str">
            <v xml:space="preserve">Norte Shopping </v>
          </cell>
          <cell r="C13" t="str">
            <v>rj</v>
          </cell>
          <cell r="D13" t="str">
            <v>G/GG</v>
          </cell>
          <cell r="E13" t="str">
            <v>GG</v>
          </cell>
          <cell r="F13">
            <v>6</v>
          </cell>
          <cell r="G13" t="str">
            <v>IAP</v>
          </cell>
          <cell r="H13" t="str">
            <v>Aruba - 205     Aruba - 205     Aruba - 205     Aruba - 205     Aruba - 205     Aruba - 205</v>
          </cell>
        </row>
        <row r="14">
          <cell r="A14">
            <v>150</v>
          </cell>
          <cell r="B14" t="str">
            <v xml:space="preserve">Pátio Brasil Shop. </v>
          </cell>
          <cell r="C14" t="str">
            <v>df</v>
          </cell>
          <cell r="D14" t="str">
            <v>P/M</v>
          </cell>
          <cell r="E14" t="str">
            <v>PP</v>
          </cell>
          <cell r="F14">
            <v>4</v>
          </cell>
          <cell r="G14" t="str">
            <v>IAP</v>
          </cell>
          <cell r="H14" t="str">
            <v>Aruba - 205     Aruba - 205     Aruba - 205     Aruba - 205</v>
          </cell>
        </row>
        <row r="15">
          <cell r="A15">
            <v>160</v>
          </cell>
          <cell r="B15" t="str">
            <v xml:space="preserve">Riverside Walk Shop. </v>
          </cell>
          <cell r="C15" t="str">
            <v>pi</v>
          </cell>
          <cell r="D15" t="str">
            <v>P/M</v>
          </cell>
          <cell r="E15" t="str">
            <v>P</v>
          </cell>
          <cell r="F15">
            <v>5</v>
          </cell>
          <cell r="G15" t="str">
            <v>IAP</v>
          </cell>
          <cell r="H15" t="str">
            <v>Aruba - 205     Aruba - 205     Aruba - 205      Aruba - 205     Aruba - 205</v>
          </cell>
        </row>
        <row r="16">
          <cell r="A16">
            <v>165</v>
          </cell>
          <cell r="B16" t="str">
            <v xml:space="preserve">Grand Plaza Shop. </v>
          </cell>
          <cell r="C16" t="str">
            <v>sp</v>
          </cell>
          <cell r="D16" t="str">
            <v>G/GG</v>
          </cell>
          <cell r="E16" t="str">
            <v>G</v>
          </cell>
          <cell r="F16">
            <v>6</v>
          </cell>
          <cell r="G16" t="str">
            <v>IAP</v>
          </cell>
          <cell r="H16" t="str">
            <v>Aruba - 303     Aruba - 303     Aruba - 303     Aruba - 303     Aruba - 303     Aruba -303</v>
          </cell>
        </row>
        <row r="17">
          <cell r="A17">
            <v>176</v>
          </cell>
          <cell r="B17" t="str">
            <v xml:space="preserve">Internacional Shop. Guarulhos </v>
          </cell>
          <cell r="C17" t="str">
            <v>sp</v>
          </cell>
          <cell r="D17" t="str">
            <v>G/GG</v>
          </cell>
          <cell r="E17" t="str">
            <v>GG</v>
          </cell>
          <cell r="F17">
            <v>6</v>
          </cell>
          <cell r="G17" t="str">
            <v>IAP</v>
          </cell>
          <cell r="H17" t="str">
            <v>Aruba - 303     Aruba - 303     Aruba - 303     Aruba - 303     Aruba - 303     Aruba -303</v>
          </cell>
        </row>
        <row r="18">
          <cell r="A18">
            <v>178</v>
          </cell>
          <cell r="B18" t="str">
            <v xml:space="preserve">Buriti Shop. </v>
          </cell>
          <cell r="C18" t="str">
            <v>go</v>
          </cell>
          <cell r="D18" t="str">
            <v>G/GG</v>
          </cell>
          <cell r="E18" t="str">
            <v>G</v>
          </cell>
          <cell r="F18">
            <v>2</v>
          </cell>
          <cell r="G18" t="str">
            <v>IAP</v>
          </cell>
          <cell r="H18" t="str">
            <v>Aruba - 205     Aruba - 205</v>
          </cell>
        </row>
        <row r="19">
          <cell r="A19">
            <v>180</v>
          </cell>
          <cell r="B19" t="str">
            <v xml:space="preserve">Litoral Plaza Shop. </v>
          </cell>
          <cell r="C19" t="str">
            <v>sp</v>
          </cell>
          <cell r="D19" t="str">
            <v>G/GG</v>
          </cell>
          <cell r="E19" t="str">
            <v>GG</v>
          </cell>
          <cell r="F19">
            <v>6</v>
          </cell>
          <cell r="G19" t="str">
            <v>Ubiquiti</v>
          </cell>
          <cell r="H19" t="str">
            <v xml:space="preserve">UAP-AC-LR     UAP-AC-LR     UAP-AC-LR     UAP-AC-LR     UAP-AC-LR     UAP-AC-LR     </v>
          </cell>
        </row>
        <row r="20">
          <cell r="A20">
            <v>196</v>
          </cell>
          <cell r="B20" t="str">
            <v xml:space="preserve">Manaíra Shop. </v>
          </cell>
          <cell r="C20" t="str">
            <v>pb</v>
          </cell>
          <cell r="D20" t="str">
            <v>G/GG</v>
          </cell>
          <cell r="E20" t="str">
            <v>M</v>
          </cell>
          <cell r="F20">
            <v>6</v>
          </cell>
          <cell r="G20" t="str">
            <v>Ubiquiti</v>
          </cell>
          <cell r="H20" t="str">
            <v xml:space="preserve">UAP-AC-LR     UAP-AC-LR     UAP-AC-LR     UAP-AC-LR     UAP-AC-LR     UAP-AC-LR     </v>
          </cell>
        </row>
        <row r="21">
          <cell r="A21">
            <v>508</v>
          </cell>
          <cell r="B21" t="str">
            <v xml:space="preserve">Alameda Shop. </v>
          </cell>
          <cell r="C21" t="str">
            <v>df</v>
          </cell>
          <cell r="D21" t="str">
            <v>P/M</v>
          </cell>
          <cell r="E21" t="str">
            <v>GG</v>
          </cell>
          <cell r="F21">
            <v>5</v>
          </cell>
          <cell r="G21" t="str">
            <v>IAP</v>
          </cell>
          <cell r="H21" t="str">
            <v>Aruba - 205 Aruba - 205 Aruba - 205       Aruba - 205        Aruba - 205</v>
          </cell>
        </row>
        <row r="22">
          <cell r="A22">
            <v>510</v>
          </cell>
          <cell r="B22" t="str">
            <v xml:space="preserve">Shop. Aricanduva </v>
          </cell>
          <cell r="C22" t="str">
            <v>sp</v>
          </cell>
          <cell r="D22" t="str">
            <v>G/GG</v>
          </cell>
          <cell r="E22" t="str">
            <v>GG</v>
          </cell>
          <cell r="F22">
            <v>12</v>
          </cell>
          <cell r="G22" t="str">
            <v>Ubiquiti</v>
          </cell>
          <cell r="H22" t="str">
            <v>UAP-AC-LR     UAP-AC-LR     UAP-AC-LR     UAP-AC-LR     UAP-AC-LR     UAP-AC-LR     UAP-AC-LR     UAP-AC-LR     UAP-AC-LR     UAP-AC-LR     UAP-AC-LR     UAP-AC-LR</v>
          </cell>
        </row>
        <row r="23">
          <cell r="A23">
            <v>514</v>
          </cell>
          <cell r="B23" t="str">
            <v xml:space="preserve">Macapá </v>
          </cell>
          <cell r="C23" t="str">
            <v>ap</v>
          </cell>
          <cell r="D23" t="str">
            <v>G/GG</v>
          </cell>
          <cell r="E23" t="str">
            <v>GG</v>
          </cell>
          <cell r="F23">
            <v>8</v>
          </cell>
          <cell r="G23" t="str">
            <v>Ubiquiti</v>
          </cell>
          <cell r="H23" t="str">
            <v xml:space="preserve">UAP-AC-LR     UAP-AC-LR     UAP-AC-LR     UAP-AC-LR     UAP-AC-LR     UAP-AC-LR     UAP-AC-LR     UAP-AC-LR     </v>
          </cell>
        </row>
        <row r="24">
          <cell r="A24">
            <v>515</v>
          </cell>
          <cell r="B24" t="str">
            <v xml:space="preserve">Santo Amaro </v>
          </cell>
          <cell r="C24" t="str">
            <v>sp</v>
          </cell>
          <cell r="D24" t="str">
            <v>G/GG</v>
          </cell>
          <cell r="E24" t="str">
            <v>GG</v>
          </cell>
          <cell r="F24">
            <v>7</v>
          </cell>
          <cell r="G24" t="str">
            <v>IAP</v>
          </cell>
          <cell r="H24" t="str">
            <v xml:space="preserve">Aruba - 205 Aruba - 205 Aruba - 205     Aruba - 205 Aruba - 205 Aruba - 205     Aruba - 205 </v>
          </cell>
        </row>
        <row r="25">
          <cell r="A25">
            <v>517</v>
          </cell>
          <cell r="B25" t="str">
            <v>Rio Branco ..</v>
          </cell>
          <cell r="C25" t="str">
            <v>ac</v>
          </cell>
          <cell r="D25" t="str">
            <v>G/GG</v>
          </cell>
          <cell r="E25" t="str">
            <v>GG</v>
          </cell>
          <cell r="F25">
            <v>5</v>
          </cell>
          <cell r="G25" t="str">
            <v>iap</v>
          </cell>
          <cell r="H25" t="str">
            <v xml:space="preserve">Aruba - 205 Aruba - 205     Aruba - 205     Aruba - 205     Aruba - 205     </v>
          </cell>
        </row>
        <row r="26">
          <cell r="A26">
            <v>518</v>
          </cell>
          <cell r="B26" t="str">
            <v xml:space="preserve">Diadema </v>
          </cell>
          <cell r="C26" t="str">
            <v>sp</v>
          </cell>
          <cell r="D26" t="str">
            <v>G/GG</v>
          </cell>
          <cell r="E26" t="str">
            <v>GG</v>
          </cell>
          <cell r="F26">
            <v>6</v>
          </cell>
          <cell r="G26" t="str">
            <v>IAP</v>
          </cell>
          <cell r="H26" t="str">
            <v>Aruba - 303     Aruba - 303     Aruba - 303     Aruba - 303     Aruba - 303     Aruba -303</v>
          </cell>
        </row>
        <row r="27">
          <cell r="A27">
            <v>519</v>
          </cell>
          <cell r="B27" t="str">
            <v xml:space="preserve">Porto Velho </v>
          </cell>
          <cell r="C27" t="str">
            <v>ro</v>
          </cell>
          <cell r="D27" t="str">
            <v>G/GG</v>
          </cell>
          <cell r="E27" t="str">
            <v>GG</v>
          </cell>
          <cell r="F27">
            <v>3</v>
          </cell>
          <cell r="G27" t="str">
            <v>Ubiquiti</v>
          </cell>
          <cell r="H27" t="str">
            <v xml:space="preserve">UAP-AC-LR UAP-AC-LR     UAP-AC-LR     </v>
          </cell>
        </row>
        <row r="28">
          <cell r="A28">
            <v>520</v>
          </cell>
          <cell r="B28" t="str">
            <v xml:space="preserve">Mauá Plaza Shop. </v>
          </cell>
          <cell r="C28" t="str">
            <v>sp</v>
          </cell>
          <cell r="D28" t="str">
            <v>G/GG</v>
          </cell>
          <cell r="E28" t="str">
            <v>GG</v>
          </cell>
          <cell r="F28">
            <v>7</v>
          </cell>
          <cell r="G28" t="str">
            <v>IAP</v>
          </cell>
          <cell r="H28" t="str">
            <v>Aruba - 303     Aruba - 303     Aruba - 303     Aruba - 303     Aruba - 303     Aruba -303     Aruba - 303</v>
          </cell>
        </row>
        <row r="29">
          <cell r="A29">
            <v>525</v>
          </cell>
          <cell r="B29" t="str">
            <v xml:space="preserve">RioMar Aracajú </v>
          </cell>
          <cell r="C29" t="str">
            <v>se</v>
          </cell>
          <cell r="D29" t="str">
            <v>G/GG</v>
          </cell>
          <cell r="E29" t="str">
            <v>M</v>
          </cell>
          <cell r="F29">
            <v>5</v>
          </cell>
          <cell r="G29" t="str">
            <v>Ubiquiti</v>
          </cell>
          <cell r="H29" t="str">
            <v>UAP-AC-LR     UAP-AC-LR     UAP-AC-LR     UAP-AC-LR     UAP-AC-LR</v>
          </cell>
        </row>
        <row r="30">
          <cell r="A30">
            <v>526</v>
          </cell>
          <cell r="B30" t="str">
            <v xml:space="preserve">Canoas Shop. </v>
          </cell>
          <cell r="C30" t="str">
            <v>rs</v>
          </cell>
          <cell r="D30" t="str">
            <v>P/M</v>
          </cell>
          <cell r="E30" t="str">
            <v>GG</v>
          </cell>
          <cell r="F30">
            <v>5</v>
          </cell>
          <cell r="G30" t="str">
            <v>IAP</v>
          </cell>
          <cell r="H30" t="str">
            <v xml:space="preserve">Aruba - 205     Aruba - 205     Aruba - 205     Aruba - 205     Aruba - 205     </v>
          </cell>
        </row>
        <row r="31">
          <cell r="A31">
            <v>527</v>
          </cell>
          <cell r="B31" t="str">
            <v xml:space="preserve">North Shop. Fortaleza </v>
          </cell>
          <cell r="C31" t="str">
            <v>ce</v>
          </cell>
          <cell r="D31" t="str">
            <v>G/GG</v>
          </cell>
          <cell r="E31" t="str">
            <v>GG</v>
          </cell>
          <cell r="F31">
            <v>5</v>
          </cell>
          <cell r="G31" t="str">
            <v>Ubiquiti</v>
          </cell>
          <cell r="H31" t="str">
            <v>UAP-AC-LR     UAP-AC-LR     UAP-AC-LR     UAP-AC-LR     UAP-AC-LR</v>
          </cell>
        </row>
        <row r="32">
          <cell r="A32">
            <v>529</v>
          </cell>
          <cell r="B32" t="str">
            <v xml:space="preserve">São Leopondo </v>
          </cell>
          <cell r="C32" t="str">
            <v>rs</v>
          </cell>
          <cell r="D32" t="str">
            <v>G/GG</v>
          </cell>
          <cell r="E32" t="str">
            <v>M</v>
          </cell>
          <cell r="F32">
            <v>5</v>
          </cell>
          <cell r="G32" t="str">
            <v>IAP</v>
          </cell>
          <cell r="H32" t="str">
            <v>Aruba - 205     Aruba - 205     Aruba - 205      Aruba - 205   Aruba - 205</v>
          </cell>
        </row>
        <row r="33">
          <cell r="A33">
            <v>531</v>
          </cell>
          <cell r="B33" t="str">
            <v xml:space="preserve">Via Shop. </v>
          </cell>
          <cell r="C33" t="str">
            <v>mg</v>
          </cell>
          <cell r="D33" t="str">
            <v>G/GG</v>
          </cell>
          <cell r="E33" t="str">
            <v>G</v>
          </cell>
          <cell r="F33">
            <v>7</v>
          </cell>
          <cell r="G33" t="str">
            <v>Ubiquiti</v>
          </cell>
          <cell r="H33" t="str">
            <v>UAP-AC-LR     UAP-AC-LR     UAP-AC-LR     UAP-AC-LR     UAP-AC-LR     UAP-AC-LR</v>
          </cell>
        </row>
        <row r="34">
          <cell r="A34">
            <v>534</v>
          </cell>
          <cell r="B34" t="str">
            <v xml:space="preserve">Maxi Shop. Jundiaí </v>
          </cell>
          <cell r="C34" t="str">
            <v>sp</v>
          </cell>
          <cell r="D34" t="str">
            <v>G/GG</v>
          </cell>
          <cell r="E34" t="str">
            <v>GG</v>
          </cell>
          <cell r="F34">
            <v>4</v>
          </cell>
          <cell r="G34" t="str">
            <v>IAP</v>
          </cell>
          <cell r="H34" t="str">
            <v>Aruba - 305     Aruba - 305     Aruba - 305     Aruba - 305</v>
          </cell>
        </row>
        <row r="35">
          <cell r="A35">
            <v>535</v>
          </cell>
          <cell r="B35" t="str">
            <v xml:space="preserve">São José dos Pinhais </v>
          </cell>
          <cell r="C35" t="str">
            <v>pr</v>
          </cell>
          <cell r="D35" t="str">
            <v>P/M</v>
          </cell>
          <cell r="E35" t="str">
            <v>M</v>
          </cell>
          <cell r="F35">
            <v>6</v>
          </cell>
          <cell r="G35" t="str">
            <v>IAP</v>
          </cell>
          <cell r="H35" t="str">
            <v>Aruba - 205      Aruba - 205        Aruba - 205      Aruba - 205      Aruba - 205      Aruba - 205</v>
          </cell>
        </row>
        <row r="36">
          <cell r="A36">
            <v>536</v>
          </cell>
          <cell r="B36" t="str">
            <v xml:space="preserve">BH Centro </v>
          </cell>
          <cell r="C36" t="str">
            <v>mg</v>
          </cell>
          <cell r="D36" t="str">
            <v>G/GG</v>
          </cell>
          <cell r="E36" t="str">
            <v>GG</v>
          </cell>
          <cell r="F36">
            <v>8</v>
          </cell>
          <cell r="G36" t="str">
            <v>IAP</v>
          </cell>
          <cell r="H36" t="str">
            <v>Aruba - 205     Aruba - 205      Aruba - 205     Aruba - 205 Aruba - 205     Aruba - 205      Aruba - 205     Aruba - 205</v>
          </cell>
        </row>
        <row r="37">
          <cell r="A37">
            <v>544</v>
          </cell>
          <cell r="B37" t="str">
            <v xml:space="preserve">Shop. Center Penha </v>
          </cell>
          <cell r="C37" t="str">
            <v>sp</v>
          </cell>
          <cell r="D37" t="str">
            <v>G/GG</v>
          </cell>
          <cell r="E37" t="str">
            <v>M</v>
          </cell>
          <cell r="F37">
            <v>4</v>
          </cell>
          <cell r="G37" t="str">
            <v>IAP</v>
          </cell>
          <cell r="H37" t="str">
            <v>Aruba - 303     Aruba - 303     Aruba - 303     Aruba - 303</v>
          </cell>
        </row>
        <row r="38">
          <cell r="A38">
            <v>547</v>
          </cell>
          <cell r="B38" t="str">
            <v xml:space="preserve">Gonzaga </v>
          </cell>
          <cell r="C38" t="str">
            <v>sp</v>
          </cell>
          <cell r="D38" t="str">
            <v>G/GG</v>
          </cell>
          <cell r="E38" t="str">
            <v>GG</v>
          </cell>
          <cell r="F38">
            <v>6</v>
          </cell>
          <cell r="G38" t="str">
            <v>IAP</v>
          </cell>
          <cell r="H38" t="str">
            <v>Aruba - 303     Aruba - 303     Aruba - 303     Aruba - 303     Aruba - 303     Aruba -303</v>
          </cell>
        </row>
        <row r="39">
          <cell r="A39">
            <v>548</v>
          </cell>
          <cell r="B39" t="str">
            <v xml:space="preserve">Curitiba </v>
          </cell>
          <cell r="C39" t="str">
            <v>pr</v>
          </cell>
          <cell r="D39" t="str">
            <v>G/GG</v>
          </cell>
          <cell r="E39" t="str">
            <v>GG</v>
          </cell>
          <cell r="F39">
            <v>8</v>
          </cell>
          <cell r="G39" t="str">
            <v>IAP</v>
          </cell>
          <cell r="H39" t="str">
            <v>Aruba - 205 Aruba - 205     Aruba - 205     Aruba - 205     Aruba - 205     Aruba - 205     Aruba - 205    Aruba - 205</v>
          </cell>
        </row>
        <row r="40">
          <cell r="A40">
            <v>549</v>
          </cell>
          <cell r="B40" t="str">
            <v xml:space="preserve">Novo Shop. Center Ribeirão Preto </v>
          </cell>
          <cell r="C40" t="str">
            <v>sp</v>
          </cell>
          <cell r="D40" t="str">
            <v>G/GG</v>
          </cell>
          <cell r="E40" t="str">
            <v>GG</v>
          </cell>
          <cell r="F40">
            <v>6</v>
          </cell>
          <cell r="G40" t="str">
            <v>IAP</v>
          </cell>
          <cell r="H40" t="str">
            <v>Aruba - 303     Aruba - 303     Aruba - 303     Aruba - 303     Aruba - 303     Aruba -303</v>
          </cell>
        </row>
        <row r="41">
          <cell r="A41">
            <v>553</v>
          </cell>
          <cell r="B41" t="str">
            <v xml:space="preserve">Midway Mall </v>
          </cell>
          <cell r="C41" t="str">
            <v>rn</v>
          </cell>
          <cell r="D41" t="str">
            <v>G/GG</v>
          </cell>
          <cell r="E41" t="str">
            <v>G</v>
          </cell>
          <cell r="F41">
            <v>7</v>
          </cell>
          <cell r="G41" t="str">
            <v>IAP</v>
          </cell>
          <cell r="H41" t="str">
            <v>Aruba - 205     Aruba - 205    Aruba - 205     Aruba - 205 Aruba - 205     Aruba - 305    Aruba - 305</v>
          </cell>
        </row>
        <row r="42">
          <cell r="A42">
            <v>558</v>
          </cell>
          <cell r="B42" t="str">
            <v xml:space="preserve">Manaus </v>
          </cell>
          <cell r="C42" t="str">
            <v>am</v>
          </cell>
          <cell r="D42" t="str">
            <v>G/GG</v>
          </cell>
          <cell r="E42" t="str">
            <v>M</v>
          </cell>
          <cell r="F42">
            <v>6</v>
          </cell>
          <cell r="G42" t="str">
            <v>IAP</v>
          </cell>
          <cell r="H42" t="str">
            <v>Aruba - 205 Aruba - 205 Aruba - 205     Aruba - 205     Aruba - 205      Aruba - 205</v>
          </cell>
        </row>
        <row r="43">
          <cell r="A43">
            <v>559</v>
          </cell>
          <cell r="B43" t="str">
            <v xml:space="preserve">Osasco Plaza Shop. </v>
          </cell>
          <cell r="C43" t="str">
            <v>sp</v>
          </cell>
          <cell r="D43" t="str">
            <v>G/GG</v>
          </cell>
          <cell r="E43" t="str">
            <v>GG</v>
          </cell>
          <cell r="F43">
            <v>8</v>
          </cell>
          <cell r="G43" t="str">
            <v>Ubiquiti</v>
          </cell>
          <cell r="H43" t="str">
            <v>UAP-AC-LR     UAP-AC-LR     UAP-AC-LR     UAP-AC-LR     UAP-AC-LR     UAP-AC-LR     UAP-AC-LR     UAP-AC-LR</v>
          </cell>
        </row>
        <row r="44">
          <cell r="A44">
            <v>560</v>
          </cell>
          <cell r="B44" t="str">
            <v xml:space="preserve">Castanheira Shop. Center </v>
          </cell>
          <cell r="C44" t="str">
            <v>pa</v>
          </cell>
          <cell r="D44" t="str">
            <v>G/GG</v>
          </cell>
          <cell r="E44" t="str">
            <v>GG</v>
          </cell>
          <cell r="F44">
            <v>7</v>
          </cell>
          <cell r="G44" t="str">
            <v>IAP</v>
          </cell>
          <cell r="H44" t="str">
            <v xml:space="preserve">Aruba -305     Aruba - 305     Aruba - 305     Aruba -  305    Aruba - 305     Aruba - 305     Aruba - 305     </v>
          </cell>
        </row>
        <row r="45">
          <cell r="A45">
            <v>563</v>
          </cell>
          <cell r="B45" t="str">
            <v xml:space="preserve">Santana </v>
          </cell>
          <cell r="C45" t="str">
            <v>sp</v>
          </cell>
          <cell r="D45" t="str">
            <v>G/GG</v>
          </cell>
          <cell r="E45" t="str">
            <v>GG</v>
          </cell>
          <cell r="F45">
            <v>8</v>
          </cell>
          <cell r="G45" t="str">
            <v>IAP</v>
          </cell>
          <cell r="H45" t="str">
            <v>Aruba - 205      Aruba - 205        Aruba - 205      Aruba - 205      Aruba - 205      Aruba - 205     Aruba - 205     Aruba - 205</v>
          </cell>
        </row>
        <row r="46">
          <cell r="A46">
            <v>564</v>
          </cell>
          <cell r="B46" t="str">
            <v xml:space="preserve">São Miguel Paulista </v>
          </cell>
          <cell r="C46" t="str">
            <v>sp</v>
          </cell>
          <cell r="D46" t="str">
            <v>G/GG</v>
          </cell>
          <cell r="E46" t="str">
            <v>G</v>
          </cell>
          <cell r="F46">
            <v>6</v>
          </cell>
          <cell r="G46" t="str">
            <v>Ubiquiti</v>
          </cell>
          <cell r="H46" t="str">
            <v>UAP-AC-LR     UAP-AC-LR     UAP-AC-LR     UAP-AC-LR     UAP-AC-LR        UAP-AC-LR</v>
          </cell>
        </row>
        <row r="47">
          <cell r="A47">
            <v>565</v>
          </cell>
          <cell r="B47" t="str">
            <v xml:space="preserve">Shop. Guararapes </v>
          </cell>
          <cell r="C47" t="str">
            <v>pe</v>
          </cell>
          <cell r="D47" t="str">
            <v>G/GG</v>
          </cell>
          <cell r="E47" t="str">
            <v>GG</v>
          </cell>
          <cell r="F47">
            <v>6</v>
          </cell>
          <cell r="G47" t="str">
            <v>IAP</v>
          </cell>
          <cell r="H47" t="str">
            <v>Aruba - 205 Aruba - 205 Aruba - 205     Aruba - 205     Aruba - 205     Aruba - 205</v>
          </cell>
        </row>
        <row r="48">
          <cell r="A48">
            <v>566</v>
          </cell>
          <cell r="B48" t="str">
            <v xml:space="preserve">Maceió Shop. </v>
          </cell>
          <cell r="C48" t="str">
            <v>al</v>
          </cell>
          <cell r="D48" t="str">
            <v>G/GG</v>
          </cell>
          <cell r="E48" t="str">
            <v>G</v>
          </cell>
          <cell r="F48">
            <v>5</v>
          </cell>
          <cell r="G48" t="str">
            <v>Ubiquiti</v>
          </cell>
          <cell r="H48" t="str">
            <v>UAP-AC-LR     UAP-AC-LR     UAP-AC-LR     UAP-AC-LR     UAP-AC-LR</v>
          </cell>
        </row>
        <row r="49">
          <cell r="A49">
            <v>571</v>
          </cell>
          <cell r="B49" t="str">
            <v xml:space="preserve">Shop. do Vale </v>
          </cell>
          <cell r="C49" t="str">
            <v>rs</v>
          </cell>
          <cell r="D49" t="str">
            <v>G/GG</v>
          </cell>
          <cell r="E49" t="str">
            <v>G</v>
          </cell>
          <cell r="F49">
            <v>6</v>
          </cell>
          <cell r="G49" t="str">
            <v>IAP</v>
          </cell>
          <cell r="H49" t="str">
            <v xml:space="preserve">Aruba - 205     Aruba - 205    Aruba - 205     Aruba - 205    Aruba - 205     Aruba - 205 </v>
          </cell>
        </row>
        <row r="50">
          <cell r="A50">
            <v>573</v>
          </cell>
          <cell r="B50" t="str">
            <v xml:space="preserve">Santo André </v>
          </cell>
          <cell r="C50" t="str">
            <v>sp</v>
          </cell>
          <cell r="D50" t="str">
            <v>P/M</v>
          </cell>
          <cell r="E50" t="str">
            <v>G</v>
          </cell>
          <cell r="F50">
            <v>6</v>
          </cell>
          <cell r="G50" t="str">
            <v>IAP</v>
          </cell>
          <cell r="H50" t="str">
            <v>Aruba - 303     Aruba - 303     Aruba - 303     Aruba - 303     Aruba - 303     Aruba -303     Aruba - 303</v>
          </cell>
        </row>
        <row r="51">
          <cell r="A51">
            <v>575</v>
          </cell>
          <cell r="B51" t="str">
            <v xml:space="preserve">Alcântara </v>
          </cell>
          <cell r="C51" t="str">
            <v>rj</v>
          </cell>
          <cell r="D51" t="str">
            <v>G/GG</v>
          </cell>
          <cell r="E51" t="str">
            <v>GG</v>
          </cell>
          <cell r="F51">
            <v>5</v>
          </cell>
          <cell r="G51" t="str">
            <v>IAP</v>
          </cell>
          <cell r="H51" t="str">
            <v>Aruba - 205     Aruba - 205    Aruba - 205     Aruba - 205    Aruba - 205</v>
          </cell>
        </row>
        <row r="52">
          <cell r="A52">
            <v>576</v>
          </cell>
          <cell r="B52" t="str">
            <v xml:space="preserve">Parque Dom Pedro Shop. </v>
          </cell>
          <cell r="C52" t="str">
            <v>sp</v>
          </cell>
          <cell r="D52" t="str">
            <v>G/GG</v>
          </cell>
          <cell r="E52" t="str">
            <v>GG</v>
          </cell>
          <cell r="F52">
            <v>7</v>
          </cell>
          <cell r="G52" t="str">
            <v>IAP</v>
          </cell>
          <cell r="H52" t="str">
            <v>Aruba - 303     Aruba - 303     Aruba - 303     Aruba - 303     Aruba - 303     Aruba -303     Aruba - 303</v>
          </cell>
        </row>
        <row r="53">
          <cell r="A53">
            <v>577</v>
          </cell>
          <cell r="B53" t="str">
            <v xml:space="preserve">Mogi Shop. </v>
          </cell>
          <cell r="C53" t="str">
            <v>sp</v>
          </cell>
          <cell r="D53" t="str">
            <v>G/GG</v>
          </cell>
          <cell r="E53" t="str">
            <v>GG</v>
          </cell>
          <cell r="F53">
            <v>6</v>
          </cell>
          <cell r="G53" t="str">
            <v>IAP</v>
          </cell>
          <cell r="H53" t="str">
            <v xml:space="preserve">Aruba - 303     Aruba - 303     Aruba - 303     Aruba - 303     Aruba - 303     Aruba -303     </v>
          </cell>
        </row>
        <row r="54">
          <cell r="A54">
            <v>578</v>
          </cell>
          <cell r="B54" t="str">
            <v xml:space="preserve">Farol Shop. </v>
          </cell>
          <cell r="C54" t="str">
            <v>sc</v>
          </cell>
          <cell r="D54" t="str">
            <v>P/M</v>
          </cell>
          <cell r="E54" t="str">
            <v>G</v>
          </cell>
          <cell r="F54">
            <v>3</v>
          </cell>
          <cell r="G54" t="str">
            <v>IAP</v>
          </cell>
          <cell r="H54" t="str">
            <v>Aruba - 205     Aruba - 205    Aruba - 205</v>
          </cell>
        </row>
        <row r="55">
          <cell r="A55">
            <v>579</v>
          </cell>
          <cell r="B55" t="str">
            <v xml:space="preserve">Shop. Campo Limpo </v>
          </cell>
          <cell r="C55" t="str">
            <v>sp</v>
          </cell>
          <cell r="D55" t="str">
            <v>G/GG</v>
          </cell>
          <cell r="E55" t="str">
            <v>GG</v>
          </cell>
          <cell r="F55">
            <v>7</v>
          </cell>
          <cell r="G55" t="str">
            <v>IAP</v>
          </cell>
          <cell r="H55" t="str">
            <v>Aruba - 205     Aruba - 205     Aruba - 205     Aruba - 205     Aruba - 205     Aruba - 205     Aruba - 205</v>
          </cell>
        </row>
        <row r="56">
          <cell r="A56">
            <v>580</v>
          </cell>
          <cell r="B56" t="str">
            <v xml:space="preserve">Shop. Piracicaba </v>
          </cell>
          <cell r="C56" t="str">
            <v>sp</v>
          </cell>
          <cell r="D56" t="str">
            <v>G/GG</v>
          </cell>
          <cell r="E56" t="str">
            <v>G</v>
          </cell>
          <cell r="F56">
            <v>6</v>
          </cell>
          <cell r="G56" t="str">
            <v>IAP</v>
          </cell>
          <cell r="H56" t="str">
            <v>Aruba - 205     Aruba - 205    Aruba - 205     Aruba - 205     Aruba - 205    Aruba - 205</v>
          </cell>
        </row>
        <row r="57">
          <cell r="A57">
            <v>582</v>
          </cell>
          <cell r="B57" t="str">
            <v xml:space="preserve">Porto Alegre (Centro) </v>
          </cell>
          <cell r="C57" t="str">
            <v>rs</v>
          </cell>
          <cell r="D57" t="str">
            <v>P/M</v>
          </cell>
          <cell r="E57" t="str">
            <v>M</v>
          </cell>
          <cell r="F57">
            <v>6</v>
          </cell>
          <cell r="G57" t="str">
            <v>IAP</v>
          </cell>
          <cell r="H57" t="str">
            <v>Aruba - 205 Aruba - 205     Aruba - 205     Aruba - 205     Aruba - 205     Aruba - 205</v>
          </cell>
        </row>
        <row r="58">
          <cell r="A58">
            <v>583</v>
          </cell>
          <cell r="B58" t="str">
            <v xml:space="preserve">Shop. Del Rey </v>
          </cell>
          <cell r="C58" t="str">
            <v>mg</v>
          </cell>
          <cell r="D58" t="str">
            <v>G/GG</v>
          </cell>
          <cell r="E58" t="str">
            <v>M</v>
          </cell>
          <cell r="F58">
            <v>6</v>
          </cell>
          <cell r="G58" t="str">
            <v>IAP</v>
          </cell>
          <cell r="H58" t="str">
            <v xml:space="preserve">UAP-AC-LR     UAP-AC-LR     UAP-AC-LR     UAP-AC-LR     UAP-AC-LR     UAP-AC-LR     </v>
          </cell>
        </row>
        <row r="59">
          <cell r="A59">
            <v>586</v>
          </cell>
          <cell r="B59" t="str">
            <v xml:space="preserve">Shop. Metrô Tatuapé </v>
          </cell>
          <cell r="C59" t="str">
            <v>sp</v>
          </cell>
          <cell r="D59" t="str">
            <v>G/GG</v>
          </cell>
          <cell r="E59" t="str">
            <v>GG</v>
          </cell>
          <cell r="F59">
            <v>13</v>
          </cell>
          <cell r="G59" t="str">
            <v>IAP</v>
          </cell>
          <cell r="H59" t="str">
            <v>Aruba - 303     Aruba - 303     Aruba - 303     Aruba - 303     Aruba - 303     Aruba -303     Aruba - 303     Aruba - 303     Aruba - 303     Aruba - 303     Aruba - 303     Aruba - 303     Aruba -303     Aruba - 303     Aruba - 303</v>
          </cell>
        </row>
        <row r="60">
          <cell r="A60">
            <v>589</v>
          </cell>
          <cell r="B60" t="str">
            <v xml:space="preserve">Maceió </v>
          </cell>
          <cell r="C60" t="str">
            <v>al</v>
          </cell>
          <cell r="D60" t="str">
            <v>P/M</v>
          </cell>
          <cell r="E60" t="str">
            <v>G</v>
          </cell>
          <cell r="F60">
            <v>7</v>
          </cell>
          <cell r="G60" t="str">
            <v>Ubiquiti</v>
          </cell>
          <cell r="H60" t="str">
            <v>UAP-AC-LR     UAP-AC-LR     UAP-AC-LR     UAP-AC-LR     UAP-AC-LR     UAP-AC-LR     UAP-AC-LR</v>
          </cell>
        </row>
        <row r="61">
          <cell r="A61">
            <v>590</v>
          </cell>
          <cell r="B61" t="str">
            <v xml:space="preserve">Big Shop. </v>
          </cell>
          <cell r="C61" t="str">
            <v>mg</v>
          </cell>
          <cell r="D61" t="str">
            <v>G/GG</v>
          </cell>
          <cell r="E61" t="str">
            <v>GG</v>
          </cell>
          <cell r="F61">
            <v>7</v>
          </cell>
          <cell r="G61" t="str">
            <v>IAP</v>
          </cell>
          <cell r="H61" t="str">
            <v>Aruba - 205     Aruba - 205    Aruba - 205     Aruba - 205     Aruba - 205    Aruba - 205     Aruba - 205</v>
          </cell>
        </row>
        <row r="62">
          <cell r="A62">
            <v>594</v>
          </cell>
          <cell r="B62" t="str">
            <v xml:space="preserve">Floripa Shop. </v>
          </cell>
          <cell r="C62" t="str">
            <v>sc</v>
          </cell>
          <cell r="D62" t="str">
            <v>G/GG</v>
          </cell>
          <cell r="E62" t="str">
            <v>GG</v>
          </cell>
          <cell r="F62">
            <v>3</v>
          </cell>
          <cell r="G62" t="str">
            <v>IAP</v>
          </cell>
          <cell r="H62" t="str">
            <v>Aruba - 205     Aruba - 205    Aruba - 205</v>
          </cell>
        </row>
        <row r="63">
          <cell r="A63">
            <v>598</v>
          </cell>
          <cell r="B63" t="str">
            <v xml:space="preserve">Shop. Avenida Center </v>
          </cell>
          <cell r="C63" t="str">
            <v>ms</v>
          </cell>
          <cell r="D63" t="str">
            <v>G/GG</v>
          </cell>
          <cell r="E63" t="str">
            <v>G</v>
          </cell>
          <cell r="F63">
            <v>3</v>
          </cell>
          <cell r="G63" t="str">
            <v>IAP</v>
          </cell>
          <cell r="H63" t="str">
            <v>Aruba - 205     Aruba - 205    Aruba - 205</v>
          </cell>
        </row>
        <row r="64">
          <cell r="A64">
            <v>599</v>
          </cell>
          <cell r="B64" t="str">
            <v xml:space="preserve">Ponta Grossa </v>
          </cell>
          <cell r="C64" t="str">
            <v>pr</v>
          </cell>
          <cell r="D64" t="str">
            <v>P/M</v>
          </cell>
          <cell r="E64" t="str">
            <v>G</v>
          </cell>
          <cell r="F64">
            <v>6</v>
          </cell>
          <cell r="G64" t="str">
            <v>IAP</v>
          </cell>
          <cell r="H64" t="str">
            <v>Aruba - 205      Aruba - 205        Aruba - 205      Aruba - 205      Aruba - 205      Aruba - 205</v>
          </cell>
        </row>
        <row r="65">
          <cell r="A65">
            <v>600</v>
          </cell>
          <cell r="B65" t="str">
            <v xml:space="preserve">Salvador Shop. </v>
          </cell>
          <cell r="C65" t="str">
            <v>ba</v>
          </cell>
          <cell r="D65" t="str">
            <v>G/GG</v>
          </cell>
          <cell r="E65" t="str">
            <v>M</v>
          </cell>
          <cell r="F65">
            <v>6</v>
          </cell>
          <cell r="G65" t="str">
            <v>IAP</v>
          </cell>
          <cell r="H65" t="str">
            <v>Aruba - 205     Aruba - 205    Aruba - 205     Aruba - 205     Aruba - 205    Aruba - 205</v>
          </cell>
        </row>
        <row r="66">
          <cell r="A66">
            <v>601</v>
          </cell>
          <cell r="B66" t="str">
            <v xml:space="preserve">Shop. Recife </v>
          </cell>
          <cell r="C66" t="str">
            <v>pe</v>
          </cell>
          <cell r="D66" t="str">
            <v>G/GG</v>
          </cell>
          <cell r="E66" t="str">
            <v>P</v>
          </cell>
          <cell r="F66">
            <v>6</v>
          </cell>
          <cell r="G66" t="str">
            <v>IAP</v>
          </cell>
          <cell r="H66" t="str">
            <v>Aruba - 205     Aruba - 205    Aruba - 205     Aruba - 205     Aruba - 205    Aruba - 205</v>
          </cell>
        </row>
        <row r="67">
          <cell r="A67">
            <v>605</v>
          </cell>
          <cell r="B67" t="str">
            <v xml:space="preserve">Shop. Avenida Center </v>
          </cell>
          <cell r="C67" t="str">
            <v>pr</v>
          </cell>
          <cell r="D67" t="str">
            <v>G/GG</v>
          </cell>
          <cell r="E67" t="str">
            <v>GG</v>
          </cell>
          <cell r="F67">
            <v>3</v>
          </cell>
          <cell r="G67" t="str">
            <v>IAP</v>
          </cell>
          <cell r="H67" t="str">
            <v>Aruba - 205     Aruba - 205    Aruba - 205</v>
          </cell>
        </row>
        <row r="68">
          <cell r="A68">
            <v>606</v>
          </cell>
          <cell r="B68" t="str">
            <v xml:space="preserve">Shop. do Vale do Aço </v>
          </cell>
          <cell r="C68" t="str">
            <v>mg</v>
          </cell>
          <cell r="D68" t="str">
            <v>P/M</v>
          </cell>
          <cell r="E68" t="str">
            <v>G</v>
          </cell>
          <cell r="F68">
            <v>5</v>
          </cell>
          <cell r="G68" t="str">
            <v>Ubiquiti</v>
          </cell>
          <cell r="H68" t="str">
            <v>UAP-AC-LR     UAP-AC-LR     UAP-AC-LR     UAP-AC-LR     UAP-AC-LR</v>
          </cell>
        </row>
        <row r="69">
          <cell r="A69">
            <v>607</v>
          </cell>
          <cell r="B69" t="str">
            <v xml:space="preserve">Pátio Limeira Shop. </v>
          </cell>
          <cell r="C69" t="str">
            <v>sp</v>
          </cell>
          <cell r="D69" t="str">
            <v>P/M</v>
          </cell>
          <cell r="E69" t="str">
            <v>M</v>
          </cell>
          <cell r="F69">
            <v>5</v>
          </cell>
          <cell r="G69" t="str">
            <v>IAP</v>
          </cell>
          <cell r="H69" t="str">
            <v>Aruba - 303     Aruba - 303     Aruba - 303     Aruba - 303     Aruba - 305</v>
          </cell>
        </row>
        <row r="70">
          <cell r="A70">
            <v>608</v>
          </cell>
          <cell r="B70" t="str">
            <v xml:space="preserve">Taubaté Shop. </v>
          </cell>
          <cell r="C70" t="str">
            <v>sp</v>
          </cell>
          <cell r="D70" t="str">
            <v>P/M</v>
          </cell>
          <cell r="E70" t="str">
            <v>GG</v>
          </cell>
          <cell r="F70">
            <v>6</v>
          </cell>
          <cell r="G70" t="str">
            <v>IAP</v>
          </cell>
          <cell r="H70" t="str">
            <v>Aruba - 303     Aruba - 303     Aruba - 303     Aruba - 303     Aruba - 303     Aruba -303     Aruba - 303</v>
          </cell>
        </row>
        <row r="71">
          <cell r="A71">
            <v>610</v>
          </cell>
          <cell r="B71" t="str">
            <v xml:space="preserve">Partage Shop. Campina Grande </v>
          </cell>
          <cell r="C71" t="str">
            <v>pb</v>
          </cell>
          <cell r="D71" t="str">
            <v>P/M</v>
          </cell>
          <cell r="E71" t="str">
            <v>G</v>
          </cell>
          <cell r="F71">
            <v>5</v>
          </cell>
          <cell r="G71" t="str">
            <v>Ubiquiti</v>
          </cell>
          <cell r="H71" t="str">
            <v>UAP-AC-LR     UAP-AC-LR     UAP-AC-LR     UAP-AC-LR     UAP-AC-LR</v>
          </cell>
        </row>
        <row r="72">
          <cell r="A72">
            <v>613</v>
          </cell>
          <cell r="B72" t="str">
            <v xml:space="preserve">Itaim Paulista </v>
          </cell>
          <cell r="C72" t="str">
            <v>sp</v>
          </cell>
          <cell r="D72" t="str">
            <v>G/GG</v>
          </cell>
          <cell r="E72" t="str">
            <v>GG</v>
          </cell>
          <cell r="F72">
            <v>5</v>
          </cell>
          <cell r="G72" t="str">
            <v>IAP</v>
          </cell>
          <cell r="H72" t="str">
            <v>Aruba - 303     Aruba - 303     Aruba - 303     Aruba - 303     Aruba - 303</v>
          </cell>
        </row>
        <row r="73">
          <cell r="A73">
            <v>617</v>
          </cell>
          <cell r="B73" t="str">
            <v xml:space="preserve">Goiânia </v>
          </cell>
          <cell r="C73" t="str">
            <v>go</v>
          </cell>
          <cell r="D73" t="str">
            <v>P/M</v>
          </cell>
          <cell r="E73" t="str">
            <v>M</v>
          </cell>
          <cell r="F73">
            <v>3</v>
          </cell>
          <cell r="G73" t="str">
            <v>IAP</v>
          </cell>
          <cell r="H73" t="str">
            <v>Aruba - 205     Aruba - 205    Aruba - 205</v>
          </cell>
        </row>
        <row r="74">
          <cell r="A74">
            <v>618</v>
          </cell>
          <cell r="B74" t="str">
            <v xml:space="preserve">Shop. Jequitibá </v>
          </cell>
          <cell r="C74" t="str">
            <v>ba</v>
          </cell>
          <cell r="D74" t="str">
            <v>P/M</v>
          </cell>
          <cell r="E74" t="str">
            <v>M</v>
          </cell>
          <cell r="F74">
            <v>5</v>
          </cell>
          <cell r="G74" t="str">
            <v>Ubiquiti</v>
          </cell>
          <cell r="H74" t="str">
            <v>UAP-AC-LR     UAP-AC-LR     UAP-AC-LR     UAP-AC-LR     UAP-AC-LR</v>
          </cell>
        </row>
        <row r="75">
          <cell r="A75">
            <v>619</v>
          </cell>
          <cell r="B75" t="str">
            <v xml:space="preserve">Shop. Bonsucesso </v>
          </cell>
          <cell r="C75" t="str">
            <v>sp</v>
          </cell>
          <cell r="D75" t="str">
            <v>G/GG</v>
          </cell>
          <cell r="E75" t="str">
            <v>G</v>
          </cell>
          <cell r="F75">
            <v>5</v>
          </cell>
          <cell r="G75" t="str">
            <v>Ubiquiti</v>
          </cell>
          <cell r="H75" t="str">
            <v>UAP-AC-LR     UAP-AC-LR     UAP-AC-LR     UAP-AC-LR     UAP-AC-LR</v>
          </cell>
        </row>
        <row r="76">
          <cell r="A76">
            <v>623</v>
          </cell>
          <cell r="B76" t="str">
            <v xml:space="preserve">North Shop. Caruaru </v>
          </cell>
          <cell r="C76" t="str">
            <v>pe</v>
          </cell>
          <cell r="D76" t="str">
            <v>P/M</v>
          </cell>
          <cell r="E76" t="str">
            <v>M</v>
          </cell>
          <cell r="F76">
            <v>5</v>
          </cell>
          <cell r="G76" t="str">
            <v>Ubiquiti</v>
          </cell>
          <cell r="H76" t="str">
            <v>UAP-AC-LR     UAP-AC-LR     UAP-AC-LR     UAP-AC-LR     UAP-AC-LR</v>
          </cell>
        </row>
        <row r="77">
          <cell r="A77">
            <v>624</v>
          </cell>
          <cell r="B77" t="str">
            <v xml:space="preserve">Vale Sul Shop. </v>
          </cell>
          <cell r="C77" t="str">
            <v>sp</v>
          </cell>
          <cell r="D77" t="str">
            <v>G/GG</v>
          </cell>
          <cell r="E77" t="str">
            <v>GG</v>
          </cell>
          <cell r="F77">
            <v>6</v>
          </cell>
          <cell r="G77" t="str">
            <v>IAP</v>
          </cell>
          <cell r="H77" t="str">
            <v>Aruba - 205     Aruba - 205    Aruba - 205     Aruba - 205     Aruba - 205    Aruba - 205</v>
          </cell>
        </row>
        <row r="78">
          <cell r="A78">
            <v>625</v>
          </cell>
          <cell r="B78" t="str">
            <v xml:space="preserve">Campo Grande </v>
          </cell>
          <cell r="C78" t="str">
            <v>ms</v>
          </cell>
          <cell r="D78" t="str">
            <v>G/GG</v>
          </cell>
          <cell r="E78" t="str">
            <v>GG</v>
          </cell>
          <cell r="F78">
            <v>5</v>
          </cell>
          <cell r="G78" t="str">
            <v>IAP</v>
          </cell>
          <cell r="H78" t="str">
            <v xml:space="preserve">Aruba - 205     Aruba - 205     Aruba - 205     Aruba - 205     Aruba - 205     </v>
          </cell>
        </row>
        <row r="79">
          <cell r="A79">
            <v>626</v>
          </cell>
          <cell r="B79" t="str">
            <v xml:space="preserve">Shop. Metrô Itaquera </v>
          </cell>
          <cell r="C79" t="str">
            <v>sp</v>
          </cell>
          <cell r="D79" t="str">
            <v>G/GG</v>
          </cell>
          <cell r="E79" t="str">
            <v>GG</v>
          </cell>
          <cell r="F79">
            <v>10</v>
          </cell>
          <cell r="G79" t="str">
            <v>IAP</v>
          </cell>
          <cell r="H79" t="str">
            <v>Aruba - 303     Aruba -303     Aruba - 303     Aruba - 303     Aruba - 303     Aruba - 303     Aruba - 303     Aruba - 303     Aruba -303     Aruba - 303</v>
          </cell>
        </row>
        <row r="80">
          <cell r="A80">
            <v>627</v>
          </cell>
          <cell r="B80" t="str">
            <v xml:space="preserve">Partage Norte Shop. Natal </v>
          </cell>
          <cell r="C80" t="str">
            <v>rn</v>
          </cell>
          <cell r="D80" t="str">
            <v>G/GG</v>
          </cell>
          <cell r="E80" t="str">
            <v>G</v>
          </cell>
          <cell r="F80">
            <v>5</v>
          </cell>
          <cell r="G80" t="str">
            <v>Ubiquiti</v>
          </cell>
          <cell r="H80" t="str">
            <v>UAP-AC-LR     UAP-AC-LR     UAP-AC-LR     UAP-AC-LR     UAP-AC-LR</v>
          </cell>
        </row>
        <row r="81">
          <cell r="A81">
            <v>629</v>
          </cell>
          <cell r="B81" t="str">
            <v xml:space="preserve">Plaza Avenida Shop. </v>
          </cell>
          <cell r="C81" t="str">
            <v>sp</v>
          </cell>
          <cell r="D81" t="str">
            <v>P/M</v>
          </cell>
          <cell r="E81" t="str">
            <v>GG</v>
          </cell>
          <cell r="F81">
            <v>7</v>
          </cell>
          <cell r="G81" t="str">
            <v>IAP</v>
          </cell>
          <cell r="H81" t="str">
            <v>Aruba - 303     Aruba - 303     Aruba - 303     Aruba - 303     Aruba - 303     Aruba -303     Aruba - 303</v>
          </cell>
        </row>
        <row r="82">
          <cell r="A82">
            <v>632</v>
          </cell>
          <cell r="B82" t="str">
            <v xml:space="preserve">Shop. Jardim das Américas </v>
          </cell>
          <cell r="C82" t="str">
            <v>pr</v>
          </cell>
          <cell r="D82" t="str">
            <v>G/GG</v>
          </cell>
          <cell r="E82" t="str">
            <v>M</v>
          </cell>
          <cell r="F82">
            <v>6</v>
          </cell>
          <cell r="G82" t="str">
            <v>IAP</v>
          </cell>
          <cell r="H82" t="str">
            <v>Aruba - 205      Aruba - 205        Aruba - 205      Aruba - 205      Aruba - 205      Aruba - 205</v>
          </cell>
        </row>
        <row r="83">
          <cell r="A83">
            <v>633</v>
          </cell>
          <cell r="B83" t="str">
            <v xml:space="preserve">Bourbon Shop. </v>
          </cell>
          <cell r="C83" t="str">
            <v>rs</v>
          </cell>
          <cell r="D83" t="str">
            <v>G/GG</v>
          </cell>
          <cell r="E83" t="str">
            <v>G</v>
          </cell>
          <cell r="F83">
            <v>5</v>
          </cell>
          <cell r="G83" t="str">
            <v>IAP</v>
          </cell>
          <cell r="H83" t="str">
            <v>Aruba - 205     Aruba - 205     Aruba - 205     Aruba - 205     Aruba - 205</v>
          </cell>
        </row>
        <row r="84">
          <cell r="A84">
            <v>635</v>
          </cell>
          <cell r="B84" t="str">
            <v xml:space="preserve">Minas Shop. </v>
          </cell>
          <cell r="C84" t="str">
            <v>mg</v>
          </cell>
          <cell r="D84" t="str">
            <v>G/GG</v>
          </cell>
          <cell r="E84" t="str">
            <v>GG</v>
          </cell>
          <cell r="F84">
            <v>6</v>
          </cell>
          <cell r="G84" t="str">
            <v>IAP</v>
          </cell>
          <cell r="H84" t="str">
            <v>Aruba - 205     Aruba - 205    Aruba - 205     Aruba - 205     Aruba - 205    Aruba - 205</v>
          </cell>
        </row>
        <row r="85">
          <cell r="A85">
            <v>636</v>
          </cell>
          <cell r="B85" t="str">
            <v xml:space="preserve">Marília Shop. </v>
          </cell>
          <cell r="C85" t="str">
            <v>sp</v>
          </cell>
          <cell r="D85" t="str">
            <v>G/GG</v>
          </cell>
          <cell r="E85" t="str">
            <v>G</v>
          </cell>
          <cell r="F85">
            <v>7</v>
          </cell>
          <cell r="G85" t="str">
            <v>IAP</v>
          </cell>
          <cell r="H85" t="str">
            <v>Aruba - 303     Aruba - 303     Aruba - 303     Aruba - 303     Aruba - 303     Aruba -303     Aruba - 303</v>
          </cell>
        </row>
        <row r="86">
          <cell r="A86">
            <v>639</v>
          </cell>
          <cell r="B86" t="str">
            <v xml:space="preserve">Cubatão </v>
          </cell>
          <cell r="C86" t="str">
            <v>sp</v>
          </cell>
          <cell r="D86" t="str">
            <v>P/M</v>
          </cell>
          <cell r="E86" t="str">
            <v>G</v>
          </cell>
          <cell r="F86">
            <v>5</v>
          </cell>
          <cell r="G86" t="str">
            <v>IAP</v>
          </cell>
          <cell r="H86" t="str">
            <v>Aruba - 303     Aruba - 303     Aruba - 303     Aruba - 303     Aruba - 303</v>
          </cell>
        </row>
        <row r="87">
          <cell r="A87">
            <v>640</v>
          </cell>
          <cell r="B87" t="str">
            <v xml:space="preserve">Silvia Bueno </v>
          </cell>
          <cell r="C87" t="str">
            <v>sp</v>
          </cell>
          <cell r="D87" t="str">
            <v>P/M</v>
          </cell>
          <cell r="E87" t="str">
            <v>GG</v>
          </cell>
          <cell r="F87">
            <v>5</v>
          </cell>
          <cell r="G87" t="str">
            <v>IAP</v>
          </cell>
          <cell r="H87" t="str">
            <v>Aruba - 303     Aruba - 303     Aruba - 303     Aruba - 303     Aruba - 303</v>
          </cell>
        </row>
        <row r="88">
          <cell r="A88">
            <v>641</v>
          </cell>
          <cell r="B88" t="str">
            <v xml:space="preserve">Ferraz de Vasconcelos </v>
          </cell>
          <cell r="C88" t="str">
            <v>sp</v>
          </cell>
          <cell r="D88" t="str">
            <v>P/M</v>
          </cell>
          <cell r="E88" t="str">
            <v>GG</v>
          </cell>
          <cell r="F88">
            <v>7</v>
          </cell>
          <cell r="G88" t="str">
            <v>IAP</v>
          </cell>
          <cell r="H88" t="str">
            <v>Aruba - 303     Aruba - 303     Aruba - 303     Aruba - 303     Aruba - 303     Aruba - 303     Aruba - 303</v>
          </cell>
        </row>
        <row r="89">
          <cell r="A89">
            <v>642</v>
          </cell>
          <cell r="B89" t="str">
            <v xml:space="preserve">Buriti Shop. Guará </v>
          </cell>
          <cell r="C89" t="str">
            <v>sp</v>
          </cell>
          <cell r="D89" t="str">
            <v>P/M</v>
          </cell>
          <cell r="E89" t="str">
            <v>G</v>
          </cell>
          <cell r="F89">
            <v>6</v>
          </cell>
          <cell r="G89" t="str">
            <v>IAP</v>
          </cell>
          <cell r="H89" t="str">
            <v>Aruba - 303     Aruba - 303     Aruba - 303     Aruba - 303     Aruba - 303     Aruba - 303</v>
          </cell>
        </row>
        <row r="90">
          <cell r="A90">
            <v>643</v>
          </cell>
          <cell r="B90" t="str">
            <v xml:space="preserve">Shop Tambiá </v>
          </cell>
          <cell r="C90" t="str">
            <v>pb</v>
          </cell>
          <cell r="D90" t="str">
            <v>G/GG</v>
          </cell>
          <cell r="E90" t="str">
            <v>GG</v>
          </cell>
          <cell r="F90">
            <v>6</v>
          </cell>
          <cell r="G90" t="str">
            <v>Ubiquiti</v>
          </cell>
          <cell r="H90" t="str">
            <v>UAP-AC-LR     UAP-AC-LR     UAP-AC-LR     UAP-AC-LR     UAP-AC-LR     UAP-AC-LR</v>
          </cell>
        </row>
        <row r="91">
          <cell r="A91">
            <v>645</v>
          </cell>
          <cell r="B91" t="str">
            <v xml:space="preserve">Jacare¡ </v>
          </cell>
          <cell r="C91" t="str">
            <v>sp</v>
          </cell>
          <cell r="D91" t="str">
            <v>P/M</v>
          </cell>
          <cell r="E91" t="str">
            <v>GG</v>
          </cell>
          <cell r="F91">
            <v>6</v>
          </cell>
          <cell r="G91" t="str">
            <v>IAP</v>
          </cell>
          <cell r="H91" t="str">
            <v>Aruba - 303     Aruba - 303     Aruba - 303     Aruba - 303     Aruba - 303     Aruba - 303</v>
          </cell>
        </row>
        <row r="92">
          <cell r="A92">
            <v>646</v>
          </cell>
          <cell r="B92" t="str">
            <v xml:space="preserve">Iguatemi Salvador </v>
          </cell>
          <cell r="C92" t="str">
            <v>ba</v>
          </cell>
          <cell r="D92" t="str">
            <v>G/GG</v>
          </cell>
          <cell r="E92" t="str">
            <v>GG</v>
          </cell>
          <cell r="F92">
            <v>6</v>
          </cell>
          <cell r="G92" t="str">
            <v>IAP</v>
          </cell>
          <cell r="H92" t="str">
            <v>Aruba - 205     Aruba - 205    Aruba - 205     Aruba - 205     Aruba - 205    Aruba - 205</v>
          </cell>
        </row>
        <row r="93">
          <cell r="A93">
            <v>647</v>
          </cell>
          <cell r="B93" t="str">
            <v xml:space="preserve">Vicente de Carvalho </v>
          </cell>
          <cell r="C93" t="str">
            <v>sp</v>
          </cell>
          <cell r="D93" t="str">
            <v>P/M</v>
          </cell>
          <cell r="E93" t="str">
            <v>G</v>
          </cell>
          <cell r="F93">
            <v>6</v>
          </cell>
          <cell r="G93" t="str">
            <v>IAP</v>
          </cell>
          <cell r="H93" t="str">
            <v>Aruba - 205     Aruba - 205    Aruba - 205     Aruba - 205     Aruba - 205    Aruba - 205</v>
          </cell>
        </row>
        <row r="94">
          <cell r="A94">
            <v>648</v>
          </cell>
          <cell r="B94" t="str">
            <v xml:space="preserve">Shop. Taboão </v>
          </cell>
          <cell r="C94" t="str">
            <v>sp</v>
          </cell>
          <cell r="D94" t="str">
            <v>G/GG</v>
          </cell>
          <cell r="E94" t="str">
            <v>GG</v>
          </cell>
          <cell r="F94">
            <v>5</v>
          </cell>
          <cell r="G94" t="str">
            <v>Ubiquiti</v>
          </cell>
          <cell r="H94" t="str">
            <v xml:space="preserve">UAP-AC-LR     UAP-AC-LR     UAP-AC-LR     UAP-AC-LR     UAP-AC-LR </v>
          </cell>
        </row>
        <row r="95">
          <cell r="A95">
            <v>649</v>
          </cell>
          <cell r="B95" t="str">
            <v xml:space="preserve">Palladium Shop. Center </v>
          </cell>
          <cell r="C95" t="str">
            <v>pr</v>
          </cell>
          <cell r="D95" t="str">
            <v>G/GG</v>
          </cell>
          <cell r="E95" t="str">
            <v>GG</v>
          </cell>
          <cell r="F95">
            <v>6</v>
          </cell>
          <cell r="G95" t="str">
            <v>IAP</v>
          </cell>
          <cell r="H95" t="str">
            <v>Aruba - 205      Aruba - 205        Aruba - 205      Aruba - 205      Aruba - 205      Aruba - 205</v>
          </cell>
        </row>
        <row r="96">
          <cell r="A96">
            <v>650</v>
          </cell>
          <cell r="B96" t="str">
            <v xml:space="preserve">Boulevard Shop. Belém </v>
          </cell>
          <cell r="C96" t="str">
            <v>pa</v>
          </cell>
          <cell r="D96" t="str">
            <v>G/GG</v>
          </cell>
          <cell r="E96" t="str">
            <v>M</v>
          </cell>
          <cell r="F96">
            <v>5</v>
          </cell>
          <cell r="G96" t="str">
            <v>IAP</v>
          </cell>
          <cell r="H96" t="str">
            <v xml:space="preserve">Aruba - 205     Aruba - 205     Aruba - 205     Aruba - 205     Aruba - 205     </v>
          </cell>
        </row>
        <row r="97">
          <cell r="A97">
            <v>651</v>
          </cell>
          <cell r="B97" t="str">
            <v xml:space="preserve">Shop. Conjunto Nacional </v>
          </cell>
          <cell r="C97" t="str">
            <v>df</v>
          </cell>
          <cell r="D97" t="str">
            <v>G/GG</v>
          </cell>
          <cell r="E97" t="str">
            <v>GG</v>
          </cell>
          <cell r="F97">
            <v>8</v>
          </cell>
          <cell r="G97" t="str">
            <v>IAP</v>
          </cell>
          <cell r="H97" t="str">
            <v>Aruba - 205     Aruba - 205    Aruba - 205     Aruba - 205     Aruba - 205    Aruba - 205     Aruba - 205    Aruba - 205</v>
          </cell>
        </row>
        <row r="98">
          <cell r="A98">
            <v>652</v>
          </cell>
          <cell r="B98" t="str">
            <v xml:space="preserve">Montes Claros Shop. Center </v>
          </cell>
          <cell r="C98" t="str">
            <v>mg</v>
          </cell>
          <cell r="D98" t="str">
            <v>G/GG</v>
          </cell>
          <cell r="E98" t="str">
            <v>G</v>
          </cell>
          <cell r="F98">
            <v>5</v>
          </cell>
          <cell r="G98" t="str">
            <v>Ubiquiti</v>
          </cell>
          <cell r="H98" t="str">
            <v>UAP-AC-LR     UAP-AC-LR     UAP-AC-LR     UAP-AC-LR     UAP-AC-LR</v>
          </cell>
        </row>
        <row r="99">
          <cell r="A99">
            <v>653</v>
          </cell>
          <cell r="B99" t="str">
            <v xml:space="preserve">Via Sul Shop. Fortaleza </v>
          </cell>
          <cell r="C99" t="str">
            <v>ce</v>
          </cell>
          <cell r="D99" t="str">
            <v>P/M</v>
          </cell>
          <cell r="E99" t="str">
            <v>M</v>
          </cell>
          <cell r="F99">
            <v>5</v>
          </cell>
          <cell r="G99" t="str">
            <v>Ubiquiti</v>
          </cell>
          <cell r="H99" t="str">
            <v>UAP-AC-LR     UAP-AC-LR     UAP-AC-LR     UAP-AC-LR     UAP-AC-LR</v>
          </cell>
        </row>
        <row r="100">
          <cell r="A100">
            <v>656</v>
          </cell>
          <cell r="B100" t="str">
            <v xml:space="preserve">Andorinha Hiper Center </v>
          </cell>
          <cell r="C100" t="str">
            <v>sp</v>
          </cell>
          <cell r="D100" t="str">
            <v>G/GG</v>
          </cell>
          <cell r="E100" t="str">
            <v>G</v>
          </cell>
          <cell r="F100">
            <v>8</v>
          </cell>
          <cell r="G100" t="str">
            <v>IAP</v>
          </cell>
          <cell r="H100" t="str">
            <v>Aruba - 303     Aruba - 303     Aruba - 303     Aruba - 303     Aruba - 303     Aruba - 303     Aruba - 303     Aruba - 303</v>
          </cell>
        </row>
        <row r="101">
          <cell r="A101">
            <v>659</v>
          </cell>
          <cell r="B101" t="str">
            <v xml:space="preserve">Belém (Centro) </v>
          </cell>
          <cell r="C101" t="str">
            <v>pa</v>
          </cell>
          <cell r="D101" t="str">
            <v>G/GG</v>
          </cell>
          <cell r="E101" t="str">
            <v>GG</v>
          </cell>
          <cell r="F101">
            <v>4</v>
          </cell>
          <cell r="G101" t="str">
            <v>IAP</v>
          </cell>
          <cell r="H101" t="str">
            <v>Aruba - 205     Aruba - 205     Aruba - 205   Aruba - 205</v>
          </cell>
        </row>
        <row r="102">
          <cell r="A102">
            <v>660</v>
          </cell>
          <cell r="B102" t="str">
            <v xml:space="preserve">Porto Velho Shop. </v>
          </cell>
          <cell r="C102" t="str">
            <v>ro</v>
          </cell>
          <cell r="D102" t="str">
            <v>G/GG</v>
          </cell>
          <cell r="E102" t="str">
            <v>G</v>
          </cell>
          <cell r="F102">
            <v>3</v>
          </cell>
          <cell r="G102" t="str">
            <v>IAP</v>
          </cell>
          <cell r="H102" t="str">
            <v>Aruba - 205     Aruba - 205    Aruba - 205</v>
          </cell>
        </row>
        <row r="103">
          <cell r="A103">
            <v>661</v>
          </cell>
          <cell r="B103" t="str">
            <v xml:space="preserve">Shop. Pátio Maceió </v>
          </cell>
          <cell r="C103" t="str">
            <v>al</v>
          </cell>
          <cell r="D103" t="str">
            <v>G/GG</v>
          </cell>
          <cell r="E103" t="str">
            <v>G</v>
          </cell>
          <cell r="F103">
            <v>5</v>
          </cell>
          <cell r="G103" t="str">
            <v>Ubiquiti</v>
          </cell>
          <cell r="H103" t="str">
            <v>UAP-AC-LR     UAP-AC-LR     UAP-AC-LR     UAP-AC-LR     UAP-AC-LR</v>
          </cell>
        </row>
        <row r="104">
          <cell r="A104">
            <v>662</v>
          </cell>
          <cell r="B104" t="str">
            <v xml:space="preserve">Lapa </v>
          </cell>
          <cell r="C104" t="str">
            <v>sp</v>
          </cell>
          <cell r="D104" t="str">
            <v>G/GG</v>
          </cell>
          <cell r="E104" t="str">
            <v>GG</v>
          </cell>
          <cell r="F104">
            <v>7</v>
          </cell>
          <cell r="G104" t="str">
            <v>IAP</v>
          </cell>
          <cell r="H104" t="str">
            <v>Aruba - 303     Aruba - 303     Aruba - 303     Aruba - 303     Aruba - 303     Aruba - 303     Aruba - 303</v>
          </cell>
        </row>
        <row r="105">
          <cell r="A105">
            <v>663</v>
          </cell>
          <cell r="B105" t="str">
            <v xml:space="preserve">Manauara Shop. </v>
          </cell>
          <cell r="C105" t="str">
            <v>am</v>
          </cell>
          <cell r="D105" t="str">
            <v>G/GG</v>
          </cell>
          <cell r="E105" t="str">
            <v>GG</v>
          </cell>
          <cell r="F105">
            <v>5</v>
          </cell>
          <cell r="G105" t="str">
            <v>IAP</v>
          </cell>
          <cell r="H105" t="str">
            <v>Aruba - 205     Aruba - 205    Aruba - 205     Aruba - 205     Aruba - 205</v>
          </cell>
        </row>
        <row r="106">
          <cell r="A106">
            <v>664</v>
          </cell>
          <cell r="B106" t="str">
            <v xml:space="preserve">Chapecó </v>
          </cell>
          <cell r="C106" t="str">
            <v>sc</v>
          </cell>
          <cell r="D106" t="str">
            <v>P/M</v>
          </cell>
          <cell r="E106" t="str">
            <v>G</v>
          </cell>
          <cell r="F106">
            <v>3</v>
          </cell>
          <cell r="G106" t="str">
            <v>IAP</v>
          </cell>
          <cell r="H106" t="str">
            <v>Aruba - 205     Aruba - 205    Aruba - 205</v>
          </cell>
        </row>
        <row r="107">
          <cell r="A107">
            <v>665</v>
          </cell>
          <cell r="B107" t="str">
            <v xml:space="preserve">Itaquaquecetuba </v>
          </cell>
          <cell r="C107" t="str">
            <v>sp</v>
          </cell>
          <cell r="D107" t="str">
            <v>P/M</v>
          </cell>
          <cell r="E107" t="str">
            <v>GG</v>
          </cell>
          <cell r="F107">
            <v>5</v>
          </cell>
          <cell r="G107" t="str">
            <v>IAP</v>
          </cell>
          <cell r="H107" t="str">
            <v>Aruba - 303     Aruba - 303     Aruba - 303     Aruba - 303     Aruba - 303</v>
          </cell>
        </row>
        <row r="108">
          <cell r="A108">
            <v>667</v>
          </cell>
          <cell r="B108" t="str">
            <v xml:space="preserve">Pátio Central Shop. </v>
          </cell>
          <cell r="C108" t="str">
            <v>mg</v>
          </cell>
          <cell r="D108" t="str">
            <v>P/M</v>
          </cell>
          <cell r="E108" t="str">
            <v>M</v>
          </cell>
          <cell r="F108">
            <v>5</v>
          </cell>
          <cell r="G108" t="str">
            <v>Ubiquiti</v>
          </cell>
          <cell r="H108" t="str">
            <v>UAP-AC-LR     UAP-AC-LR     UAP-AC-LR     UAP-AC-LR     UAP-AC-LR</v>
          </cell>
        </row>
        <row r="109">
          <cell r="A109">
            <v>671</v>
          </cell>
          <cell r="B109" t="str">
            <v xml:space="preserve">Rio Verde </v>
          </cell>
          <cell r="C109" t="str">
            <v>go</v>
          </cell>
          <cell r="D109" t="str">
            <v>P/M</v>
          </cell>
          <cell r="E109" t="str">
            <v>G</v>
          </cell>
          <cell r="F109">
            <v>3</v>
          </cell>
          <cell r="G109" t="str">
            <v>IAP</v>
          </cell>
          <cell r="H109" t="str">
            <v>Aruba - 205     Aruba - 205     Aruba - 205</v>
          </cell>
        </row>
        <row r="110">
          <cell r="A110">
            <v>672</v>
          </cell>
          <cell r="B110" t="str">
            <v xml:space="preserve">Prudenshopping </v>
          </cell>
          <cell r="C110" t="str">
            <v>sp</v>
          </cell>
          <cell r="D110" t="str">
            <v>P/M</v>
          </cell>
          <cell r="E110" t="str">
            <v>G</v>
          </cell>
          <cell r="F110">
            <v>5</v>
          </cell>
          <cell r="G110" t="str">
            <v>IAP</v>
          </cell>
          <cell r="H110" t="str">
            <v>Aruba - 303     Aruba - 303     Aruba - 303     Aruba - 303     Aruba - 303</v>
          </cell>
        </row>
        <row r="111">
          <cell r="A111">
            <v>674</v>
          </cell>
          <cell r="B111" t="str">
            <v xml:space="preserve">Bauru Shop. </v>
          </cell>
          <cell r="C111" t="str">
            <v>sp</v>
          </cell>
          <cell r="D111" t="str">
            <v>G/GG</v>
          </cell>
          <cell r="E111" t="str">
            <v>G</v>
          </cell>
          <cell r="F111">
            <v>6</v>
          </cell>
          <cell r="G111" t="str">
            <v>IAP</v>
          </cell>
          <cell r="H111" t="str">
            <v>Aruba - 205      Aruba - 205        Aruba - 205      Aruba - 205      Aruba - 205      Aruba - 205</v>
          </cell>
        </row>
        <row r="112">
          <cell r="A112">
            <v>676</v>
          </cell>
          <cell r="B112" t="str">
            <v xml:space="preserve">Bella Cittá Shop. Center </v>
          </cell>
          <cell r="C112" t="str">
            <v>rs</v>
          </cell>
          <cell r="D112" t="str">
            <v>P/M</v>
          </cell>
          <cell r="E112" t="str">
            <v>G</v>
          </cell>
          <cell r="F112">
            <v>5</v>
          </cell>
          <cell r="G112" t="str">
            <v>IAP</v>
          </cell>
          <cell r="H112" t="str">
            <v>Aruba - 205     Aruba - 205     Aruba - 205       Aruba - 205     Aruba - 205</v>
          </cell>
        </row>
        <row r="113">
          <cell r="A113">
            <v>677</v>
          </cell>
          <cell r="B113" t="str">
            <v xml:space="preserve">Rio Anil Shop. </v>
          </cell>
          <cell r="C113" t="str">
            <v>ma</v>
          </cell>
          <cell r="D113" t="str">
            <v>G/GG</v>
          </cell>
          <cell r="E113" t="str">
            <v>GG</v>
          </cell>
          <cell r="F113">
            <v>6</v>
          </cell>
          <cell r="G113" t="str">
            <v>Ubiquiti</v>
          </cell>
          <cell r="H113" t="str">
            <v>UAP-AC-LR     UAP-AC-LR     UAP-AC-LR     UAP-AC-LR     UAP-AC-LR     UAP-AC-LR</v>
          </cell>
        </row>
        <row r="114">
          <cell r="A114">
            <v>678</v>
          </cell>
          <cell r="B114" t="str">
            <v xml:space="preserve">Shop. Sul </v>
          </cell>
          <cell r="C114" t="str">
            <v>go</v>
          </cell>
          <cell r="D114" t="str">
            <v>G/GG</v>
          </cell>
          <cell r="E114" t="str">
            <v>G</v>
          </cell>
          <cell r="F114">
            <v>5</v>
          </cell>
          <cell r="G114" t="str">
            <v>IAP</v>
          </cell>
          <cell r="H114" t="str">
            <v>Aruba - 205     Aruba - 205    Aruba - 205     Aruba - 205     Aruba - 205</v>
          </cell>
        </row>
        <row r="115">
          <cell r="A115">
            <v>679</v>
          </cell>
          <cell r="B115" t="str">
            <v xml:space="preserve">Imperatriz </v>
          </cell>
          <cell r="C115" t="str">
            <v>ma</v>
          </cell>
          <cell r="D115" t="str">
            <v>G/GG</v>
          </cell>
          <cell r="E115" t="str">
            <v>G</v>
          </cell>
          <cell r="F115">
            <v>5</v>
          </cell>
          <cell r="G115" t="str">
            <v>IAP</v>
          </cell>
          <cell r="H115" t="str">
            <v>Aruba - 205     Aruba - 205    Aruba - 205     Aruba - 205     Aruba - 205</v>
          </cell>
        </row>
        <row r="116">
          <cell r="A116">
            <v>680</v>
          </cell>
          <cell r="B116" t="str">
            <v xml:space="preserve">Portal Shop. </v>
          </cell>
          <cell r="C116" t="str">
            <v>go</v>
          </cell>
          <cell r="D116" t="str">
            <v>P/M</v>
          </cell>
          <cell r="E116" t="str">
            <v>G</v>
          </cell>
          <cell r="F116">
            <v>4</v>
          </cell>
          <cell r="G116" t="str">
            <v>Ubiquiti</v>
          </cell>
          <cell r="H116" t="str">
            <v>UAP-AC-LR     UAP-AC-LR     UAP-AC-LR     UAP-AC-LR</v>
          </cell>
        </row>
        <row r="117">
          <cell r="A117">
            <v>681</v>
          </cell>
          <cell r="B117" t="str">
            <v xml:space="preserve">Capim Dourado Shop. </v>
          </cell>
          <cell r="C117" t="str">
            <v>to</v>
          </cell>
          <cell r="D117" t="str">
            <v>P/M</v>
          </cell>
          <cell r="E117" t="str">
            <v>G</v>
          </cell>
          <cell r="F117">
            <v>4</v>
          </cell>
          <cell r="G117" t="str">
            <v>Ubiquiti</v>
          </cell>
          <cell r="H117" t="str">
            <v xml:space="preserve">UAP-AC-LR UAP-AC-LR UAP-AC-LR UAP-AC-LR </v>
          </cell>
        </row>
        <row r="118">
          <cell r="A118">
            <v>682</v>
          </cell>
          <cell r="B118" t="str">
            <v xml:space="preserve">Tivoli Shop. </v>
          </cell>
          <cell r="C118" t="str">
            <v>sp</v>
          </cell>
          <cell r="D118" t="str">
            <v>P/M</v>
          </cell>
          <cell r="E118" t="str">
            <v>GG</v>
          </cell>
          <cell r="F118">
            <v>4</v>
          </cell>
          <cell r="G118" t="str">
            <v>IAP</v>
          </cell>
          <cell r="H118" t="str">
            <v>Aruba - 303     Aruba - 303     Aruba - 303     Aruba - 303</v>
          </cell>
        </row>
        <row r="119">
          <cell r="A119">
            <v>684</v>
          </cell>
          <cell r="B119" t="str">
            <v xml:space="preserve">Taguatinga Shop. </v>
          </cell>
          <cell r="C119" t="str">
            <v>df</v>
          </cell>
          <cell r="D119" t="str">
            <v>G/GG</v>
          </cell>
          <cell r="E119" t="str">
            <v>G</v>
          </cell>
          <cell r="F119">
            <v>3</v>
          </cell>
          <cell r="G119" t="str">
            <v>IAP</v>
          </cell>
          <cell r="H119" t="str">
            <v>Aruba - 205     Aruba - 205    Aruba - 205</v>
          </cell>
        </row>
        <row r="120">
          <cell r="A120">
            <v>685</v>
          </cell>
          <cell r="B120" t="str">
            <v xml:space="preserve">Shop. Sete Lagoas </v>
          </cell>
          <cell r="C120" t="str">
            <v>mg</v>
          </cell>
          <cell r="D120" t="str">
            <v>P/M</v>
          </cell>
          <cell r="E120" t="str">
            <v>G</v>
          </cell>
          <cell r="F120">
            <v>5</v>
          </cell>
          <cell r="G120" t="str">
            <v>Ubiquiti</v>
          </cell>
          <cell r="H120" t="str">
            <v>UAP-AC-LR     UAP-AC-LR     UAP-AC-LR     UAP-AC-LR     UAP-AC-LR</v>
          </cell>
        </row>
        <row r="121">
          <cell r="A121">
            <v>686</v>
          </cell>
          <cell r="B121" t="str">
            <v xml:space="preserve">Shop. Bourbon Wallig </v>
          </cell>
          <cell r="C121" t="str">
            <v>rs</v>
          </cell>
          <cell r="D121" t="str">
            <v>G/GG</v>
          </cell>
          <cell r="E121" t="str">
            <v>GG</v>
          </cell>
          <cell r="F121">
            <v>6</v>
          </cell>
          <cell r="G121" t="str">
            <v>IAP</v>
          </cell>
          <cell r="H121" t="str">
            <v>Aruba - 205     Aruba - 205     Aruba - 205     Aruba - 205     Aruba - 205     Aruba - 205</v>
          </cell>
        </row>
        <row r="122">
          <cell r="A122">
            <v>687</v>
          </cell>
          <cell r="B122" t="str">
            <v xml:space="preserve">Center Shop. Uberlândia </v>
          </cell>
          <cell r="C122" t="str">
            <v>mg</v>
          </cell>
          <cell r="D122" t="str">
            <v>P/M</v>
          </cell>
          <cell r="E122" t="str">
            <v>G</v>
          </cell>
          <cell r="F122">
            <v>6</v>
          </cell>
          <cell r="G122" t="str">
            <v>Ubiquiti</v>
          </cell>
          <cell r="H122" t="str">
            <v>UAP-AC-LR     UAP-AC-LR     UAP-AC-LR     UAP-AC-LR     UAP-AC-LR     UAP-AC-LR</v>
          </cell>
        </row>
        <row r="123">
          <cell r="A123">
            <v>688</v>
          </cell>
          <cell r="B123" t="str">
            <v xml:space="preserve">Norte Sul Plaza </v>
          </cell>
          <cell r="C123" t="str">
            <v>ms</v>
          </cell>
          <cell r="D123" t="str">
            <v>P/M</v>
          </cell>
          <cell r="E123" t="str">
            <v>M</v>
          </cell>
          <cell r="F123">
            <v>3</v>
          </cell>
          <cell r="G123" t="str">
            <v>IAP</v>
          </cell>
          <cell r="H123" t="str">
            <v>Aruba - 205     Aruba - 205    Aruba - 205</v>
          </cell>
        </row>
        <row r="124">
          <cell r="A124">
            <v>689</v>
          </cell>
          <cell r="B124" t="str">
            <v xml:space="preserve">Raposo Shop. </v>
          </cell>
          <cell r="C124" t="str">
            <v>sp</v>
          </cell>
          <cell r="D124" t="str">
            <v>G/GG</v>
          </cell>
          <cell r="E124" t="str">
            <v>G</v>
          </cell>
          <cell r="F124">
            <v>5</v>
          </cell>
          <cell r="G124" t="str">
            <v>IAP</v>
          </cell>
          <cell r="H124" t="str">
            <v>Aruba - 303     Aruba - 303     Aruba - 303     Aruba - 303     Aruba - 303</v>
          </cell>
        </row>
        <row r="125">
          <cell r="A125">
            <v>696</v>
          </cell>
          <cell r="B125" t="str">
            <v xml:space="preserve">Shop. Viacatarina </v>
          </cell>
          <cell r="C125" t="str">
            <v>sc</v>
          </cell>
          <cell r="D125" t="str">
            <v>G/GG</v>
          </cell>
          <cell r="E125" t="str">
            <v>G</v>
          </cell>
          <cell r="F125">
            <v>5</v>
          </cell>
          <cell r="G125" t="str">
            <v>Ubiquiti</v>
          </cell>
          <cell r="H125" t="str">
            <v>UAP-AC-LR     UAP-AC-LR     UAP-AC-LR     UAP-AC-LR           UAP  -AC-LR</v>
          </cell>
        </row>
        <row r="126">
          <cell r="A126">
            <v>698</v>
          </cell>
          <cell r="B126" t="str">
            <v xml:space="preserve">Itapetininga Shop. Center </v>
          </cell>
          <cell r="C126" t="str">
            <v>sp</v>
          </cell>
          <cell r="D126" t="str">
            <v>P/M</v>
          </cell>
          <cell r="E126" t="str">
            <v>M</v>
          </cell>
          <cell r="F126">
            <v>5</v>
          </cell>
          <cell r="G126" t="str">
            <v>IAP</v>
          </cell>
          <cell r="H126" t="str">
            <v>Aruba - 303     Aruba - 303     Aruba - 303     Aruba - 303     Aruba - 303</v>
          </cell>
        </row>
        <row r="127">
          <cell r="A127">
            <v>699</v>
          </cell>
          <cell r="B127" t="str">
            <v>Royal Plaza Shop.</v>
          </cell>
          <cell r="C127" t="str">
            <v>rs</v>
          </cell>
          <cell r="D127" t="str">
            <v>P/M</v>
          </cell>
          <cell r="E127" t="str">
            <v>M</v>
          </cell>
          <cell r="F127">
            <v>6</v>
          </cell>
          <cell r="G127" t="str">
            <v>IAP</v>
          </cell>
          <cell r="H127" t="str">
            <v>Aruba - 205 Aruba - 205      Aruba - 205     Aruba - 205      Aruba - 205     Aruba - 205</v>
          </cell>
        </row>
        <row r="128">
          <cell r="A128">
            <v>700</v>
          </cell>
          <cell r="B128" t="str">
            <v xml:space="preserve">Av. Paulista </v>
          </cell>
          <cell r="C128" t="str">
            <v>sp</v>
          </cell>
          <cell r="D128" t="str">
            <v>G/GG</v>
          </cell>
          <cell r="E128" t="str">
            <v>G</v>
          </cell>
          <cell r="F128">
            <v>6</v>
          </cell>
          <cell r="G128" t="str">
            <v>IAP</v>
          </cell>
          <cell r="H128" t="str">
            <v>Aruba - 303     Aruba - 303     Aruba - 303     Aruba - 303     Aruba - 303     Aruba - 303</v>
          </cell>
        </row>
        <row r="129">
          <cell r="A129">
            <v>709</v>
          </cell>
          <cell r="B129" t="str">
            <v xml:space="preserve">Parque Shop. Belém </v>
          </cell>
          <cell r="C129" t="str">
            <v>pa</v>
          </cell>
          <cell r="D129" t="str">
            <v>G/GG</v>
          </cell>
          <cell r="E129" t="str">
            <v>GG</v>
          </cell>
          <cell r="F129">
            <v>3</v>
          </cell>
          <cell r="G129" t="str">
            <v>Ubiquiti</v>
          </cell>
          <cell r="H129" t="str">
            <v>UAP-AC-LR     UAP-AC-LR    UAP-AC-LR</v>
          </cell>
        </row>
        <row r="130">
          <cell r="A130">
            <v>711</v>
          </cell>
          <cell r="B130" t="str">
            <v xml:space="preserve">Shop. Jaraguá Indaiatuba </v>
          </cell>
          <cell r="C130" t="str">
            <v>sp</v>
          </cell>
          <cell r="D130" t="str">
            <v>P/M</v>
          </cell>
          <cell r="E130" t="str">
            <v>G</v>
          </cell>
          <cell r="F130">
            <v>5</v>
          </cell>
          <cell r="G130" t="str">
            <v>IAP</v>
          </cell>
          <cell r="H130" t="str">
            <v>Aruba - 303     Aruba - 303     Aruba - 303     Aruba - 303     Aruba - 303</v>
          </cell>
        </row>
        <row r="131">
          <cell r="A131">
            <v>712</v>
          </cell>
          <cell r="B131" t="str">
            <v xml:space="preserve">Canoas </v>
          </cell>
          <cell r="C131" t="str">
            <v>rs</v>
          </cell>
          <cell r="D131" t="str">
            <v>G/GG</v>
          </cell>
          <cell r="E131" t="str">
            <v>GG</v>
          </cell>
          <cell r="F131">
            <v>5</v>
          </cell>
          <cell r="G131" t="str">
            <v>IAP</v>
          </cell>
          <cell r="H131" t="str">
            <v>Aruba - 205     Aruba - 205     Aruba - 205     Aruba - 205 Aruba - 205</v>
          </cell>
        </row>
        <row r="132">
          <cell r="A132">
            <v>715</v>
          </cell>
          <cell r="B132" t="str">
            <v xml:space="preserve">Itajaí </v>
          </cell>
          <cell r="C132" t="str">
            <v>sc</v>
          </cell>
          <cell r="D132" t="str">
            <v>P/M</v>
          </cell>
          <cell r="E132" t="str">
            <v>M</v>
          </cell>
          <cell r="F132">
            <v>5</v>
          </cell>
          <cell r="G132" t="str">
            <v>Ubiquiti</v>
          </cell>
          <cell r="H132" t="str">
            <v xml:space="preserve">UAP-AC-LR     UAP-AC-LR     UAP-AC-LR     UAP-AC-LR     UAP-AC-LR     </v>
          </cell>
        </row>
        <row r="133">
          <cell r="A133">
            <v>717</v>
          </cell>
          <cell r="B133" t="str">
            <v xml:space="preserve">Garden Shop. Catanduva </v>
          </cell>
          <cell r="C133" t="str">
            <v>sp</v>
          </cell>
          <cell r="D133" t="str">
            <v>P/M</v>
          </cell>
          <cell r="E133" t="str">
            <v>P</v>
          </cell>
          <cell r="F133">
            <v>5</v>
          </cell>
          <cell r="G133" t="str">
            <v>IAP</v>
          </cell>
          <cell r="H133" t="str">
            <v>Aruba - 303     Aruba - 303     Aruba - 303     Aruba - 303     Aruba - 303</v>
          </cell>
        </row>
        <row r="134">
          <cell r="A134">
            <v>719</v>
          </cell>
          <cell r="B134" t="str">
            <v xml:space="preserve">Mossoró </v>
          </cell>
          <cell r="C134" t="str">
            <v>rn</v>
          </cell>
          <cell r="D134" t="str">
            <v>G/GG</v>
          </cell>
          <cell r="E134" t="str">
            <v>M</v>
          </cell>
          <cell r="F134">
            <v>4</v>
          </cell>
          <cell r="G134" t="str">
            <v>Ubiquiti</v>
          </cell>
          <cell r="H134" t="str">
            <v>UAP-AC-LR     UAP-AC-LR     UAP-AC-LR     UAP-AC-LR</v>
          </cell>
        </row>
        <row r="135">
          <cell r="A135">
            <v>723</v>
          </cell>
          <cell r="B135" t="str">
            <v xml:space="preserve">North Shop. Barretos </v>
          </cell>
          <cell r="C135" t="str">
            <v>sp</v>
          </cell>
          <cell r="D135" t="str">
            <v>P/M</v>
          </cell>
          <cell r="E135" t="str">
            <v>M</v>
          </cell>
          <cell r="F135">
            <v>5</v>
          </cell>
          <cell r="G135" t="str">
            <v>IAP</v>
          </cell>
          <cell r="H135" t="str">
            <v>Aruba - 303     Aruba - 303     Aruba - 303     Aruba - 303     Aruba - 303</v>
          </cell>
        </row>
        <row r="136">
          <cell r="A136">
            <v>725</v>
          </cell>
          <cell r="B136" t="str">
            <v xml:space="preserve">Barro Preto </v>
          </cell>
          <cell r="C136" t="str">
            <v>mg</v>
          </cell>
          <cell r="D136" t="str">
            <v>P/M</v>
          </cell>
          <cell r="E136" t="str">
            <v>G</v>
          </cell>
          <cell r="F136">
            <v>5</v>
          </cell>
          <cell r="G136" t="str">
            <v>Ubiquiti</v>
          </cell>
          <cell r="H136" t="str">
            <v>UAP-AC-LR     UAP-AC-LR     UAP-AC-LR     UAP-AC-LR     UAP-AC-LR</v>
          </cell>
        </row>
        <row r="137">
          <cell r="A137">
            <v>726</v>
          </cell>
          <cell r="B137" t="str">
            <v xml:space="preserve">Cidade Dutra </v>
          </cell>
          <cell r="C137" t="str">
            <v>sp</v>
          </cell>
          <cell r="D137" t="str">
            <v>P/M</v>
          </cell>
          <cell r="E137" t="str">
            <v>M</v>
          </cell>
          <cell r="F137">
            <v>6</v>
          </cell>
          <cell r="G137" t="str">
            <v>IAP</v>
          </cell>
          <cell r="H137" t="str">
            <v>Aruba - 303     Aruba - 303     Aruba - 303     Aruba - 303     Aruba - 303     Aruba - 305</v>
          </cell>
        </row>
        <row r="138">
          <cell r="A138">
            <v>727</v>
          </cell>
          <cell r="B138" t="str">
            <v xml:space="preserve">Salvador Norte Shop. </v>
          </cell>
          <cell r="C138" t="str">
            <v>ba</v>
          </cell>
          <cell r="D138" t="str">
            <v>G/GG</v>
          </cell>
          <cell r="E138" t="str">
            <v>M</v>
          </cell>
          <cell r="F138">
            <v>5</v>
          </cell>
          <cell r="G138" t="str">
            <v>Ubiquiti</v>
          </cell>
          <cell r="H138" t="str">
            <v>UAP-AC-LR     UAP-AC-LR     UAP-AC-LR     UAP-AC-LR     UAP-AC-LR</v>
          </cell>
        </row>
        <row r="139">
          <cell r="A139">
            <v>730</v>
          </cell>
          <cell r="B139" t="str">
            <v xml:space="preserve">Andradas </v>
          </cell>
          <cell r="C139" t="str">
            <v>rs</v>
          </cell>
          <cell r="D139" t="str">
            <v>G/GG</v>
          </cell>
          <cell r="E139" t="str">
            <v>GG</v>
          </cell>
          <cell r="F139">
            <v>5</v>
          </cell>
          <cell r="G139" t="str">
            <v>IAP</v>
          </cell>
          <cell r="H139" t="str">
            <v>Aruba - 205     Aruba - 205     Aruba - 205     Aruba - 205     Aruba - 205</v>
          </cell>
        </row>
        <row r="140">
          <cell r="A140">
            <v>731</v>
          </cell>
          <cell r="B140" t="str">
            <v xml:space="preserve">Shop. SP Market </v>
          </cell>
          <cell r="C140" t="str">
            <v>sp</v>
          </cell>
          <cell r="D140" t="str">
            <v>G/GG</v>
          </cell>
          <cell r="E140" t="str">
            <v>GG</v>
          </cell>
          <cell r="F140">
            <v>6</v>
          </cell>
          <cell r="G140" t="str">
            <v>IAP</v>
          </cell>
          <cell r="H140" t="str">
            <v>Aruba - 205      Aruba - 205        Aruba - 205      Aruba - 205      Aruba - 205      Aruba - 205</v>
          </cell>
        </row>
        <row r="141">
          <cell r="A141">
            <v>732</v>
          </cell>
          <cell r="B141" t="str">
            <v xml:space="preserve">Recife </v>
          </cell>
          <cell r="C141" t="str">
            <v>pe</v>
          </cell>
          <cell r="D141" t="str">
            <v>G/GG</v>
          </cell>
          <cell r="E141" t="str">
            <v>G</v>
          </cell>
          <cell r="F141">
            <v>5</v>
          </cell>
          <cell r="G141" t="str">
            <v>Ubiquiti</v>
          </cell>
          <cell r="H141" t="str">
            <v>UAP-AC-LR     UAP-AC-LR     UAP-AC-LR     UAP-AC-LR     UAP-AC-LR</v>
          </cell>
        </row>
        <row r="142">
          <cell r="A142">
            <v>733</v>
          </cell>
          <cell r="B142" t="str">
            <v xml:space="preserve">Juíz de Fora </v>
          </cell>
          <cell r="C142" t="str">
            <v>mg</v>
          </cell>
          <cell r="D142" t="str">
            <v>P/M</v>
          </cell>
          <cell r="E142" t="str">
            <v>G</v>
          </cell>
          <cell r="F142">
            <v>7</v>
          </cell>
          <cell r="G142" t="str">
            <v>Ubiquiti</v>
          </cell>
          <cell r="H142" t="str">
            <v>UAP-AC-LR     UAP-AC-LR     UAP-AC-LR     UAP-AC-LR     UAP-AC-LR     UAP-AC-LR     UAP-AC-LR</v>
          </cell>
        </row>
        <row r="143">
          <cell r="A143">
            <v>737</v>
          </cell>
          <cell r="B143" t="str">
            <v xml:space="preserve">Shop. Valinhos </v>
          </cell>
          <cell r="C143" t="str">
            <v>sp</v>
          </cell>
          <cell r="D143" t="str">
            <v>P/M</v>
          </cell>
          <cell r="E143" t="str">
            <v>M</v>
          </cell>
          <cell r="F143">
            <v>5</v>
          </cell>
          <cell r="G143" t="str">
            <v>IAP</v>
          </cell>
          <cell r="H143" t="str">
            <v>Aruba - 303     Aruba - 303     Aruba - 303     Aruba - 303     Aruba - 303</v>
          </cell>
        </row>
        <row r="144">
          <cell r="A144">
            <v>741</v>
          </cell>
          <cell r="B144" t="str">
            <v xml:space="preserve">Amazonas Shop. </v>
          </cell>
          <cell r="C144" t="str">
            <v>am</v>
          </cell>
          <cell r="D144" t="str">
            <v>G/GG</v>
          </cell>
          <cell r="E144" t="str">
            <v>GG</v>
          </cell>
          <cell r="F144">
            <v>8</v>
          </cell>
          <cell r="G144" t="str">
            <v>IAP</v>
          </cell>
          <cell r="H144" t="str">
            <v>Aruba - 205   Aruba - 205      Aruba - 205     Aruba - 205          Aruba - 205   Aruba - 205      Aruba - 205     Aruba - 205</v>
          </cell>
        </row>
        <row r="145">
          <cell r="A145">
            <v>742</v>
          </cell>
          <cell r="B145" t="str">
            <v xml:space="preserve">Cariacica </v>
          </cell>
          <cell r="C145" t="str">
            <v>es</v>
          </cell>
          <cell r="D145" t="str">
            <v>P/M</v>
          </cell>
          <cell r="E145" t="str">
            <v>M</v>
          </cell>
          <cell r="F145">
            <v>6</v>
          </cell>
          <cell r="G145" t="str">
            <v>Ubiquiti</v>
          </cell>
          <cell r="H145" t="str">
            <v>UAP-AC-LR     UAP-AC-LR     UAP-AC-LR     UAP-AC-LR     UAP-AC-LR     UAP-AC-LR</v>
          </cell>
        </row>
        <row r="146">
          <cell r="A146">
            <v>745</v>
          </cell>
          <cell r="B146" t="str">
            <v xml:space="preserve">Macaé </v>
          </cell>
          <cell r="C146" t="str">
            <v>rj</v>
          </cell>
          <cell r="D146" t="str">
            <v>G/GG</v>
          </cell>
          <cell r="E146" t="str">
            <v>M</v>
          </cell>
          <cell r="F146">
            <v>6</v>
          </cell>
          <cell r="G146" t="str">
            <v>Ubiquiti</v>
          </cell>
          <cell r="H146" t="str">
            <v>UAP-AC-LR     UAP-AC-LR     UAP-AC-LR     UAP-AC-LR     UAP-AC-LR     UAP-AC-LR</v>
          </cell>
        </row>
        <row r="147">
          <cell r="A147">
            <v>751</v>
          </cell>
          <cell r="B147" t="str">
            <v xml:space="preserve">Ceilândia </v>
          </cell>
          <cell r="C147" t="str">
            <v>df</v>
          </cell>
          <cell r="D147" t="str">
            <v>G/GG</v>
          </cell>
          <cell r="E147" t="str">
            <v>G</v>
          </cell>
          <cell r="F147">
            <v>4</v>
          </cell>
          <cell r="G147" t="str">
            <v>Ubiquiti</v>
          </cell>
          <cell r="H147" t="str">
            <v xml:space="preserve">UAP-AC-LR     UAP-AC-LR     UAP-AC-LR     UAP-AC-LR     </v>
          </cell>
        </row>
        <row r="148">
          <cell r="A148">
            <v>752</v>
          </cell>
          <cell r="B148" t="str">
            <v xml:space="preserve">Gama  </v>
          </cell>
          <cell r="C148" t="str">
            <v>df</v>
          </cell>
          <cell r="D148" t="str">
            <v>P/M</v>
          </cell>
          <cell r="E148" t="str">
            <v>M</v>
          </cell>
          <cell r="F148">
            <v>4</v>
          </cell>
          <cell r="G148" t="str">
            <v>Ubiquiti</v>
          </cell>
          <cell r="H148" t="str">
            <v xml:space="preserve"> UAP-AC-LR   UAP-AC-LR      UAP-AC-LR         UAP-AC-LR     </v>
          </cell>
        </row>
        <row r="149">
          <cell r="A149">
            <v>754</v>
          </cell>
          <cell r="B149" t="str">
            <v xml:space="preserve">Shop. Mestre Álvaro </v>
          </cell>
          <cell r="C149" t="str">
            <v>es</v>
          </cell>
          <cell r="D149" t="str">
            <v>P/M</v>
          </cell>
          <cell r="E149" t="str">
            <v>M</v>
          </cell>
          <cell r="F149">
            <v>6</v>
          </cell>
          <cell r="G149" t="str">
            <v>Ubiquiti</v>
          </cell>
          <cell r="H149" t="str">
            <v>UAP-AC-LR     UAP-AC-LR     UAP-AC-LR     UAP-AC-LR     UAP-AC-LR     UAP-AC-LR</v>
          </cell>
        </row>
        <row r="150">
          <cell r="A150">
            <v>756</v>
          </cell>
          <cell r="B150" t="str">
            <v xml:space="preserve">Duque de Caxias </v>
          </cell>
          <cell r="C150" t="str">
            <v>rj</v>
          </cell>
          <cell r="D150" t="str">
            <v>G/GG</v>
          </cell>
          <cell r="E150" t="str">
            <v>GG</v>
          </cell>
          <cell r="F150">
            <v>4</v>
          </cell>
          <cell r="G150" t="str">
            <v>IAP</v>
          </cell>
          <cell r="H150" t="str">
            <v>Aruba - 205     Aruba - 205     Aruba - 205     Aruba - 205</v>
          </cell>
        </row>
        <row r="151">
          <cell r="A151">
            <v>764</v>
          </cell>
          <cell r="B151" t="str">
            <v xml:space="preserve">Portal Sul Shop. </v>
          </cell>
          <cell r="C151" t="str">
            <v>go</v>
          </cell>
          <cell r="D151" t="str">
            <v>P/M</v>
          </cell>
          <cell r="E151" t="str">
            <v>P</v>
          </cell>
          <cell r="F151">
            <v>4</v>
          </cell>
          <cell r="G151" t="str">
            <v>Ubiquiti</v>
          </cell>
          <cell r="H151" t="str">
            <v xml:space="preserve">UAP-AC-LR UAP-AC-LR UAP-AC-LR UAP-AC-LR </v>
          </cell>
        </row>
        <row r="152">
          <cell r="A152">
            <v>768</v>
          </cell>
          <cell r="B152" t="str">
            <v xml:space="preserve">Parque Shop. Barueri </v>
          </cell>
          <cell r="C152" t="str">
            <v>sp</v>
          </cell>
          <cell r="D152" t="str">
            <v>P/M</v>
          </cell>
          <cell r="E152" t="str">
            <v>G</v>
          </cell>
          <cell r="F152">
            <v>5</v>
          </cell>
          <cell r="G152" t="str">
            <v>IAP</v>
          </cell>
          <cell r="H152" t="str">
            <v>Aruba - 303     Aruba - 303     Aruba - 303     Aruba - 303     Aruba - 303</v>
          </cell>
        </row>
        <row r="153">
          <cell r="A153">
            <v>770</v>
          </cell>
          <cell r="B153" t="str">
            <v xml:space="preserve">Poá </v>
          </cell>
          <cell r="C153" t="str">
            <v>sp</v>
          </cell>
          <cell r="D153" t="str">
            <v>P/M</v>
          </cell>
          <cell r="E153" t="str">
            <v>G</v>
          </cell>
          <cell r="F153">
            <v>5</v>
          </cell>
          <cell r="G153" t="str">
            <v>IAP</v>
          </cell>
          <cell r="H153" t="str">
            <v>Aruba - 303     Aruba - 303     Aruba - 303     Aruba - 303     Aruba - 303</v>
          </cell>
        </row>
        <row r="154">
          <cell r="A154">
            <v>771</v>
          </cell>
          <cell r="B154" t="str">
            <v xml:space="preserve">Shop. Pátio Divinopolis </v>
          </cell>
          <cell r="C154" t="str">
            <v>mg</v>
          </cell>
          <cell r="D154" t="str">
            <v>P/M</v>
          </cell>
          <cell r="E154" t="str">
            <v>P</v>
          </cell>
          <cell r="F154">
            <v>5</v>
          </cell>
          <cell r="G154" t="str">
            <v>IAP</v>
          </cell>
          <cell r="H154" t="str">
            <v xml:space="preserve">Aruba - 303     Aruba - 303      Aruba - 303            Aruba - 303            Aruba - 303           </v>
          </cell>
        </row>
        <row r="155">
          <cell r="A155">
            <v>774</v>
          </cell>
          <cell r="B155" t="str">
            <v xml:space="preserve">Shop. Bela Vista </v>
          </cell>
          <cell r="C155" t="str">
            <v>ba</v>
          </cell>
          <cell r="D155" t="str">
            <v>G/GG</v>
          </cell>
          <cell r="E155" t="str">
            <v>G</v>
          </cell>
          <cell r="F155">
            <v>6</v>
          </cell>
          <cell r="G155" t="str">
            <v>Ubiquiti</v>
          </cell>
          <cell r="H155" t="str">
            <v>UAP-AC-LR     UAP-AC-LR     UAP-AC-LR     UAP-AC-LR     UAP-AC-LR     UAP-AC-LR</v>
          </cell>
        </row>
        <row r="156">
          <cell r="A156">
            <v>778</v>
          </cell>
          <cell r="B156" t="str">
            <v xml:space="preserve">Londrina Norte Shop. </v>
          </cell>
          <cell r="C156" t="str">
            <v>pr</v>
          </cell>
          <cell r="D156" t="str">
            <v>P/M</v>
          </cell>
          <cell r="E156" t="str">
            <v>G</v>
          </cell>
          <cell r="F156">
            <v>3</v>
          </cell>
          <cell r="G156" t="str">
            <v>IAP</v>
          </cell>
          <cell r="H156" t="str">
            <v>Aruba - 303    Aruba - 303    Aruba - 303</v>
          </cell>
        </row>
        <row r="157">
          <cell r="A157">
            <v>780</v>
          </cell>
          <cell r="B157" t="str">
            <v xml:space="preserve">Barueri </v>
          </cell>
          <cell r="C157" t="str">
            <v>sp</v>
          </cell>
          <cell r="D157" t="str">
            <v>G/GG</v>
          </cell>
          <cell r="E157" t="str">
            <v>P</v>
          </cell>
          <cell r="F157">
            <v>7</v>
          </cell>
          <cell r="G157" t="str">
            <v>IAP</v>
          </cell>
          <cell r="H157" t="str">
            <v>Aruba - 303     Aruba - 303     Aruba - 303     Aruba - 303     Aruba - 303     Aruba - 303     Aruba - 303</v>
          </cell>
        </row>
        <row r="158">
          <cell r="A158">
            <v>783</v>
          </cell>
          <cell r="B158" t="str">
            <v xml:space="preserve">Shop. da Ilha </v>
          </cell>
          <cell r="C158" t="str">
            <v>ma</v>
          </cell>
          <cell r="D158" t="str">
            <v>G/GG</v>
          </cell>
          <cell r="E158" t="str">
            <v>GG</v>
          </cell>
          <cell r="F158">
            <v>6</v>
          </cell>
          <cell r="G158" t="str">
            <v>Ubiquiti</v>
          </cell>
          <cell r="H158" t="str">
            <v>UAP-AC-LR     UAP-AC-LR     UAP-AC-LR     UAP-AC-LR     UAP-AC-LR     UAP-AC-LR</v>
          </cell>
        </row>
        <row r="159">
          <cell r="A159">
            <v>785</v>
          </cell>
          <cell r="B159" t="str">
            <v xml:space="preserve">Shop. Hortolândia </v>
          </cell>
          <cell r="C159" t="str">
            <v>sp</v>
          </cell>
          <cell r="D159" t="str">
            <v>P/M</v>
          </cell>
          <cell r="E159" t="str">
            <v>M</v>
          </cell>
          <cell r="F159">
            <v>5</v>
          </cell>
          <cell r="G159" t="str">
            <v>IAP</v>
          </cell>
          <cell r="H159" t="str">
            <v>Aruba - 303     Aruba - 303     Aruba - 303     Aruba - 303     Aruba - 303</v>
          </cell>
        </row>
        <row r="160">
          <cell r="A160">
            <v>788</v>
          </cell>
          <cell r="B160" t="str">
            <v xml:space="preserve">Serramar Parque Shop. </v>
          </cell>
          <cell r="C160" t="str">
            <v>sp</v>
          </cell>
          <cell r="D160" t="str">
            <v>P/M</v>
          </cell>
          <cell r="E160" t="str">
            <v>M</v>
          </cell>
          <cell r="F160">
            <v>4</v>
          </cell>
          <cell r="G160" t="str">
            <v>IAP</v>
          </cell>
          <cell r="H160" t="str">
            <v>Aruba - 303     Aruba - 303     Aruba - 303     Aruba - 303</v>
          </cell>
        </row>
        <row r="161">
          <cell r="A161">
            <v>794</v>
          </cell>
          <cell r="B161" t="str">
            <v xml:space="preserve">Bragança Paulista </v>
          </cell>
          <cell r="C161" t="str">
            <v>sp</v>
          </cell>
          <cell r="D161" t="str">
            <v>P/M</v>
          </cell>
          <cell r="E161" t="str">
            <v>M</v>
          </cell>
          <cell r="F161">
            <v>5</v>
          </cell>
          <cell r="G161" t="str">
            <v>IAP</v>
          </cell>
          <cell r="H161" t="str">
            <v>Aruba - 303     Aruba - 303     Aruba - 303     Aruba - 303     Aruba - 303</v>
          </cell>
        </row>
        <row r="162">
          <cell r="A162">
            <v>795</v>
          </cell>
          <cell r="B162" t="str">
            <v xml:space="preserve">Boa Vista </v>
          </cell>
          <cell r="C162" t="str">
            <v>rr</v>
          </cell>
          <cell r="D162" t="str">
            <v>G/GG</v>
          </cell>
          <cell r="E162" t="str">
            <v>GG</v>
          </cell>
          <cell r="F162">
            <v>3</v>
          </cell>
          <cell r="G162" t="str">
            <v>Ubiquiti</v>
          </cell>
          <cell r="H162" t="str">
            <v>UAP-AC-LR    UAP-AC-LR    UAP-AC-LR</v>
          </cell>
        </row>
        <row r="163">
          <cell r="A163">
            <v>796</v>
          </cell>
          <cell r="B163" t="str">
            <v xml:space="preserve">Via Verde Shop. </v>
          </cell>
          <cell r="C163" t="str">
            <v>ac</v>
          </cell>
          <cell r="D163" t="str">
            <v>P/M</v>
          </cell>
          <cell r="E163" t="str">
            <v>G</v>
          </cell>
          <cell r="F163">
            <v>4</v>
          </cell>
          <cell r="G163" t="str">
            <v>IAP</v>
          </cell>
          <cell r="H163" t="str">
            <v>Aruba - 205    Aruba - 205    Aruba - 205     Aruba - 205</v>
          </cell>
        </row>
        <row r="164">
          <cell r="A164">
            <v>799</v>
          </cell>
          <cell r="B164" t="str">
            <v xml:space="preserve">Porto Alegre Centerlar </v>
          </cell>
          <cell r="C164" t="str">
            <v>rs</v>
          </cell>
          <cell r="D164" t="str">
            <v>P/M</v>
          </cell>
          <cell r="E164" t="str">
            <v>M</v>
          </cell>
          <cell r="F164">
            <v>5</v>
          </cell>
          <cell r="G164" t="str">
            <v>Ubiquiti</v>
          </cell>
          <cell r="H164" t="str">
            <v>UAP-AC-LR     UAP-AC-LR     UAP-AC-LR     UAP-AC-LR     UAP-AC-LR</v>
          </cell>
        </row>
        <row r="165">
          <cell r="A165">
            <v>844</v>
          </cell>
          <cell r="B165" t="str">
            <v xml:space="preserve">Venda Nova </v>
          </cell>
          <cell r="C165" t="str">
            <v>mg</v>
          </cell>
          <cell r="D165" t="str">
            <v>P/M</v>
          </cell>
          <cell r="E165" t="str">
            <v>G</v>
          </cell>
          <cell r="F165">
            <v>5</v>
          </cell>
          <cell r="G165" t="str">
            <v>Ubiquiti</v>
          </cell>
          <cell r="H165" t="str">
            <v>UAP-AC-LR     UAP-AC-LR     UAP-AC-LR     UAP-AC-LR     UAP-AC-LR</v>
          </cell>
        </row>
        <row r="166">
          <cell r="A166">
            <v>845</v>
          </cell>
          <cell r="B166" t="str">
            <v xml:space="preserve">Itapevi </v>
          </cell>
          <cell r="C166" t="str">
            <v>sp</v>
          </cell>
          <cell r="D166" t="str">
            <v>G/GG</v>
          </cell>
          <cell r="E166" t="str">
            <v>GG</v>
          </cell>
          <cell r="F166">
            <v>5</v>
          </cell>
          <cell r="G166" t="str">
            <v>IAP</v>
          </cell>
          <cell r="H166" t="str">
            <v>Aruba - 303     Aruba - 303     Aruba - 303     Aruba - 303     Aruba - 303</v>
          </cell>
        </row>
        <row r="167">
          <cell r="A167">
            <v>847</v>
          </cell>
          <cell r="B167" t="str">
            <v xml:space="preserve">Santarém </v>
          </cell>
          <cell r="C167" t="str">
            <v>pa</v>
          </cell>
          <cell r="D167" t="str">
            <v>P/M</v>
          </cell>
          <cell r="E167" t="str">
            <v>P</v>
          </cell>
          <cell r="F167">
            <v>4</v>
          </cell>
          <cell r="G167" t="str">
            <v>Ubiquiti</v>
          </cell>
          <cell r="H167" t="str">
            <v>UAP-AC-LR    UAP-AC-LR    UAP-AC-LR     UAP-AC-LR</v>
          </cell>
        </row>
        <row r="168">
          <cell r="A168">
            <v>848</v>
          </cell>
          <cell r="B168" t="str">
            <v xml:space="preserve">Av. Taboão </v>
          </cell>
          <cell r="C168" t="str">
            <v>sp</v>
          </cell>
          <cell r="D168" t="str">
            <v>P/M</v>
          </cell>
          <cell r="E168" t="str">
            <v>GG</v>
          </cell>
          <cell r="F168">
            <v>5</v>
          </cell>
          <cell r="G168" t="str">
            <v>IAP</v>
          </cell>
          <cell r="H168" t="str">
            <v>Aruba - 303     Aruba - 303     Aruba - 303     Aruba - 303     Aruba - 303</v>
          </cell>
        </row>
        <row r="169">
          <cell r="A169">
            <v>849</v>
          </cell>
          <cell r="B169" t="str">
            <v xml:space="preserve">Shop. Cidade Norte </v>
          </cell>
          <cell r="C169" t="str">
            <v>sp</v>
          </cell>
          <cell r="D169" t="str">
            <v>P/M</v>
          </cell>
          <cell r="E169" t="str">
            <v>G</v>
          </cell>
          <cell r="F169">
            <v>5</v>
          </cell>
          <cell r="G169" t="str">
            <v>IAP</v>
          </cell>
          <cell r="H169" t="str">
            <v>Aruba - 303     Aruba - 303     Aruba - 303     Aruba - 303     Aruba - 303</v>
          </cell>
        </row>
        <row r="170">
          <cell r="A170">
            <v>852</v>
          </cell>
          <cell r="B170" t="str">
            <v xml:space="preserve">Vila Maria </v>
          </cell>
          <cell r="C170" t="str">
            <v>sp</v>
          </cell>
          <cell r="D170" t="str">
            <v>P/M</v>
          </cell>
          <cell r="E170" t="str">
            <v>P</v>
          </cell>
          <cell r="F170">
            <v>6</v>
          </cell>
          <cell r="G170" t="str">
            <v>IAP</v>
          </cell>
          <cell r="H170" t="str">
            <v>Aruba - 303     Aruba - 303     Aruba - 303     Aruba - 303     Aruba - 303     Aruba - 303</v>
          </cell>
        </row>
        <row r="171">
          <cell r="A171">
            <v>853</v>
          </cell>
          <cell r="B171" t="str">
            <v xml:space="preserve">Franco da Rocha </v>
          </cell>
          <cell r="C171" t="str">
            <v>sp</v>
          </cell>
          <cell r="D171" t="str">
            <v>P/M</v>
          </cell>
          <cell r="E171" t="str">
            <v>G</v>
          </cell>
          <cell r="F171">
            <v>5</v>
          </cell>
          <cell r="G171" t="str">
            <v>IAP</v>
          </cell>
          <cell r="H171" t="str">
            <v>Aruba - 303     Aruba - 303     Aruba - 303     Aruba - 303     Aruba - 303</v>
          </cell>
        </row>
        <row r="172">
          <cell r="A172">
            <v>858</v>
          </cell>
          <cell r="B172" t="str">
            <v xml:space="preserve">Vila Prudente </v>
          </cell>
          <cell r="C172" t="str">
            <v>sp</v>
          </cell>
          <cell r="D172" t="str">
            <v>P/M</v>
          </cell>
          <cell r="E172" t="str">
            <v>M</v>
          </cell>
          <cell r="F172">
            <v>5</v>
          </cell>
          <cell r="G172" t="str">
            <v>IAP</v>
          </cell>
          <cell r="H172" t="str">
            <v>Aruba - 303     Aruba - 303     Aruba - 303     Aruba - 303     Aruba - 303</v>
          </cell>
        </row>
        <row r="173">
          <cell r="A173">
            <v>859</v>
          </cell>
          <cell r="B173" t="str">
            <v xml:space="preserve">Vila Formosa </v>
          </cell>
          <cell r="C173" t="str">
            <v>sp</v>
          </cell>
          <cell r="D173" t="str">
            <v>P/M</v>
          </cell>
          <cell r="E173" t="str">
            <v>M</v>
          </cell>
          <cell r="F173">
            <v>5</v>
          </cell>
          <cell r="G173" t="str">
            <v>IAP</v>
          </cell>
          <cell r="H173" t="str">
            <v>Aruba - 303     Aruba - 303     Aruba - 303     Aruba - 303     Aruba - 303</v>
          </cell>
        </row>
        <row r="174">
          <cell r="A174">
            <v>864</v>
          </cell>
          <cell r="B174" t="str">
            <v xml:space="preserve">Campos Goytacazes </v>
          </cell>
          <cell r="C174" t="str">
            <v>rj</v>
          </cell>
          <cell r="D174" t="str">
            <v>G/GG</v>
          </cell>
          <cell r="E174" t="str">
            <v>G</v>
          </cell>
          <cell r="F174">
            <v>6</v>
          </cell>
          <cell r="G174" t="str">
            <v>Ubiquiti</v>
          </cell>
          <cell r="H174" t="str">
            <v>UAP-AC-LR     UAP-AC-LR     UAP-AC-LR     UAP-AC-LR     UAP-AC-LR     UAP-AC-LR</v>
          </cell>
        </row>
        <row r="175">
          <cell r="A175">
            <v>867</v>
          </cell>
          <cell r="B175" t="str">
            <v xml:space="preserve">Shop. Estação BH </v>
          </cell>
          <cell r="C175" t="str">
            <v>mg</v>
          </cell>
          <cell r="D175" t="str">
            <v>G/GG</v>
          </cell>
          <cell r="E175" t="str">
            <v>G</v>
          </cell>
          <cell r="F175">
            <v>6</v>
          </cell>
          <cell r="G175" t="str">
            <v>IAP</v>
          </cell>
          <cell r="H175" t="str">
            <v>Aruba - 205     Aruba - 205     Aruba - 205     Aruba - 205     Aruba - 205     Aruba - 205</v>
          </cell>
        </row>
        <row r="176">
          <cell r="A176">
            <v>868</v>
          </cell>
          <cell r="B176" t="str">
            <v xml:space="preserve">Jabaquara </v>
          </cell>
          <cell r="C176" t="str">
            <v>sp</v>
          </cell>
          <cell r="D176" t="str">
            <v>P/M</v>
          </cell>
          <cell r="E176" t="str">
            <v>PP</v>
          </cell>
          <cell r="F176">
            <v>6</v>
          </cell>
          <cell r="G176" t="str">
            <v>IAP</v>
          </cell>
          <cell r="H176" t="str">
            <v>Aruba - 303     Aruba - 303     Aruba - 303     Aruba - 303     Aruba - 303     Aruba - 303</v>
          </cell>
        </row>
        <row r="177">
          <cell r="A177">
            <v>876</v>
          </cell>
          <cell r="B177" t="str">
            <v xml:space="preserve">Amapá Garden Shop. </v>
          </cell>
          <cell r="C177" t="str">
            <v>ap</v>
          </cell>
          <cell r="D177" t="str">
            <v>P/M</v>
          </cell>
          <cell r="E177" t="str">
            <v>M</v>
          </cell>
          <cell r="F177">
            <v>4</v>
          </cell>
          <cell r="G177" t="str">
            <v>Ubiquiti</v>
          </cell>
          <cell r="H177" t="str">
            <v>UAP-AC-LR    UAP-AC-LR    UAP-AC-LR     UAP-AC-LR</v>
          </cell>
        </row>
        <row r="178">
          <cell r="A178">
            <v>877</v>
          </cell>
          <cell r="B178" t="str">
            <v>Caxias do Sul  CHAMADO ABERTO</v>
          </cell>
          <cell r="C178" t="str">
            <v>rs</v>
          </cell>
          <cell r="D178" t="str">
            <v>P/M</v>
          </cell>
          <cell r="E178" t="str">
            <v>G</v>
          </cell>
          <cell r="F178">
            <v>5</v>
          </cell>
          <cell r="G178" t="str">
            <v>IAP</v>
          </cell>
          <cell r="H178" t="str">
            <v>Aruba - 303     Aruba - 303    Aruba - 303    Aruba - 303     Aruba - 303</v>
          </cell>
        </row>
        <row r="179">
          <cell r="A179">
            <v>879</v>
          </cell>
          <cell r="B179" t="str">
            <v xml:space="preserve">Bagé </v>
          </cell>
          <cell r="C179" t="str">
            <v>rs</v>
          </cell>
          <cell r="D179" t="str">
            <v>P/M</v>
          </cell>
          <cell r="E179" t="str">
            <v>G</v>
          </cell>
          <cell r="F179">
            <v>4</v>
          </cell>
          <cell r="G179" t="str">
            <v>Ubiquiti</v>
          </cell>
          <cell r="H179" t="str">
            <v>UAP-AC-LR     UAP-AC-LR     UAP-AC-LR     UAP-AC-LR</v>
          </cell>
        </row>
        <row r="180">
          <cell r="A180">
            <v>880</v>
          </cell>
          <cell r="B180" t="str">
            <v xml:space="preserve">Teófilo Otoni </v>
          </cell>
          <cell r="C180" t="str">
            <v>mg</v>
          </cell>
          <cell r="D180" t="str">
            <v>P/M</v>
          </cell>
          <cell r="E180" t="str">
            <v>P</v>
          </cell>
          <cell r="F180">
            <v>5</v>
          </cell>
          <cell r="G180" t="str">
            <v>Ubiquiti</v>
          </cell>
          <cell r="H180" t="str">
            <v>UAP-AC-LR     UAP-AC-LR     UAP-AC-LR     UAP-AC-LR     UAP-AC-LR</v>
          </cell>
        </row>
        <row r="181">
          <cell r="A181">
            <v>884</v>
          </cell>
          <cell r="B181" t="str">
            <v xml:space="preserve">Metropolitan Shop. Betim </v>
          </cell>
          <cell r="C181" t="str">
            <v>mg</v>
          </cell>
          <cell r="D181" t="str">
            <v>P/M</v>
          </cell>
          <cell r="E181" t="str">
            <v>G</v>
          </cell>
          <cell r="F181">
            <v>6</v>
          </cell>
          <cell r="G181" t="str">
            <v>Ubiquiti</v>
          </cell>
          <cell r="H181" t="str">
            <v>UAP-AC-LR     UAP-AC-LR     UAP-AC-LR     UAP-AC-LR     UAP-AC-LR     UAP-AC-LR</v>
          </cell>
        </row>
        <row r="182">
          <cell r="A182">
            <v>888</v>
          </cell>
          <cell r="B182" t="str">
            <v xml:space="preserve">Praia de Belas Shop. </v>
          </cell>
          <cell r="C182" t="str">
            <v>rs</v>
          </cell>
          <cell r="D182" t="str">
            <v>P/M</v>
          </cell>
          <cell r="E182" t="str">
            <v>G</v>
          </cell>
          <cell r="F182">
            <v>5</v>
          </cell>
          <cell r="G182" t="str">
            <v>Ubiquiti</v>
          </cell>
          <cell r="H182" t="str">
            <v>UAP-AC-LR     UAP-AC-LR     UAP-AC-LR     UAP-AC-LR     UAP-AC-LR</v>
          </cell>
        </row>
        <row r="183">
          <cell r="A183">
            <v>889</v>
          </cell>
          <cell r="B183" t="str">
            <v xml:space="preserve">Ermelino Matarazzo </v>
          </cell>
          <cell r="C183" t="str">
            <v>sp</v>
          </cell>
          <cell r="D183" t="str">
            <v>P/M</v>
          </cell>
          <cell r="E183" t="str">
            <v>P</v>
          </cell>
          <cell r="F183">
            <v>6</v>
          </cell>
          <cell r="G183" t="str">
            <v>IAP</v>
          </cell>
          <cell r="H183" t="str">
            <v>Aruba - 303     Aruba - 303     Aruba - 303     Aruba - 303     Aruba - 303     Aruba - 303</v>
          </cell>
        </row>
        <row r="184">
          <cell r="A184">
            <v>890</v>
          </cell>
          <cell r="B184" t="str">
            <v xml:space="preserve">Uruguaiana </v>
          </cell>
          <cell r="C184" t="str">
            <v>rs</v>
          </cell>
          <cell r="D184" t="str">
            <v>P/M</v>
          </cell>
          <cell r="E184" t="str">
            <v>P</v>
          </cell>
          <cell r="F184">
            <v>4</v>
          </cell>
          <cell r="G184" t="str">
            <v>IAP</v>
          </cell>
          <cell r="H184" t="str">
            <v>Aruba - 205    Aruba - 205    Aruba - 205     Aruba - 205</v>
          </cell>
        </row>
        <row r="185">
          <cell r="A185">
            <v>891</v>
          </cell>
          <cell r="B185" t="str">
            <v xml:space="preserve">Shop. Prêmio </v>
          </cell>
          <cell r="C185" t="str">
            <v>se</v>
          </cell>
          <cell r="D185" t="str">
            <v>P/M</v>
          </cell>
          <cell r="E185" t="str">
            <v>M</v>
          </cell>
          <cell r="F185">
            <v>5</v>
          </cell>
          <cell r="G185" t="str">
            <v>Ubiquiti</v>
          </cell>
          <cell r="H185" t="str">
            <v>UAP-AC-LR     UAP-AC-LR     UAP-AC-LR     UAP-AC-LR     UAP-AC-LR</v>
          </cell>
        </row>
        <row r="186">
          <cell r="A186">
            <v>893</v>
          </cell>
          <cell r="B186" t="str">
            <v xml:space="preserve">Lauro de Freitas </v>
          </cell>
          <cell r="C186" t="str">
            <v>ba</v>
          </cell>
          <cell r="D186" t="str">
            <v>P/M</v>
          </cell>
          <cell r="E186" t="str">
            <v>M</v>
          </cell>
          <cell r="F186">
            <v>5</v>
          </cell>
          <cell r="G186" t="str">
            <v>Ubiquiti</v>
          </cell>
          <cell r="H186" t="str">
            <v>UAP-AC-LR     UAP-AC-LR     UAP-AC-LR    UAP-AC-LR     UAP-AC-LR</v>
          </cell>
        </row>
        <row r="187">
          <cell r="A187">
            <v>895</v>
          </cell>
          <cell r="B187" t="str">
            <v xml:space="preserve">Cajazeiras </v>
          </cell>
          <cell r="C187" t="str">
            <v>ba</v>
          </cell>
          <cell r="D187" t="str">
            <v>P/M</v>
          </cell>
          <cell r="E187" t="str">
            <v>M</v>
          </cell>
          <cell r="F187">
            <v>5</v>
          </cell>
          <cell r="G187" t="str">
            <v>Ubiquiti</v>
          </cell>
          <cell r="H187" t="str">
            <v>UAP-AC-LR     UAP-AC-LR     UAP-AC-LR     UAP-AC-LR     UAP-AC-LR</v>
          </cell>
        </row>
        <row r="188">
          <cell r="A188">
            <v>905</v>
          </cell>
          <cell r="B188" t="str">
            <v xml:space="preserve">Icoaraci </v>
          </cell>
          <cell r="C188" t="str">
            <v>pa</v>
          </cell>
          <cell r="D188" t="str">
            <v>P/M</v>
          </cell>
          <cell r="E188" t="str">
            <v>M</v>
          </cell>
          <cell r="F188">
            <v>4</v>
          </cell>
          <cell r="G188" t="str">
            <v>Ubiquiti</v>
          </cell>
          <cell r="H188" t="str">
            <v>UAP-AC-LR    UAP-AC-LR    UAP-AC-LR     UAP-AC-LR</v>
          </cell>
        </row>
        <row r="189">
          <cell r="A189">
            <v>908</v>
          </cell>
          <cell r="B189" t="str">
            <v xml:space="preserve">Ananindeua </v>
          </cell>
          <cell r="C189" t="str">
            <v>pa</v>
          </cell>
          <cell r="D189" t="str">
            <v>P/M</v>
          </cell>
          <cell r="E189" t="str">
            <v>G</v>
          </cell>
          <cell r="F189">
            <v>4</v>
          </cell>
          <cell r="G189" t="str">
            <v>Ubiquiti</v>
          </cell>
          <cell r="H189" t="str">
            <v>UAP-AC-LR    UAP-AC-LR    UAP-AC-LR     UAP-AC-LR</v>
          </cell>
        </row>
        <row r="190">
          <cell r="A190">
            <v>912</v>
          </cell>
          <cell r="B190" t="str">
            <v xml:space="preserve">Shop. Park Lagos </v>
          </cell>
          <cell r="C190" t="str">
            <v>rj</v>
          </cell>
          <cell r="D190" t="str">
            <v>G/GG</v>
          </cell>
          <cell r="E190" t="str">
            <v>G</v>
          </cell>
          <cell r="F190">
            <v>5</v>
          </cell>
          <cell r="G190" t="str">
            <v>Ubiquiti</v>
          </cell>
          <cell r="H190" t="str">
            <v>UAP-AC-LR     UAP-AC-LR     UAP-AC-LR     UAP-AC-LR     UAP-AC-LR</v>
          </cell>
        </row>
        <row r="191">
          <cell r="A191">
            <v>916</v>
          </cell>
          <cell r="B191" t="str">
            <v xml:space="preserve">Shop. Vila Velha </v>
          </cell>
          <cell r="C191" t="str">
            <v>es</v>
          </cell>
          <cell r="D191" t="str">
            <v>P/M</v>
          </cell>
          <cell r="E191" t="str">
            <v>M</v>
          </cell>
          <cell r="F191">
            <v>5</v>
          </cell>
          <cell r="G191" t="str">
            <v>Ubiquiti</v>
          </cell>
          <cell r="H191" t="str">
            <v>UAP-AC-LR     UAP-AC-LR     UAP-AC-LR     UAP-AC-LR     UAP-AC-LR</v>
          </cell>
        </row>
        <row r="192">
          <cell r="A192">
            <v>919</v>
          </cell>
          <cell r="B192" t="str">
            <v xml:space="preserve">Jõao Pessoa </v>
          </cell>
          <cell r="C192" t="str">
            <v>pb</v>
          </cell>
          <cell r="D192" t="str">
            <v>G/GG</v>
          </cell>
          <cell r="E192" t="str">
            <v>GG</v>
          </cell>
          <cell r="F192">
            <v>5</v>
          </cell>
          <cell r="G192" t="str">
            <v>Ubiquiti</v>
          </cell>
          <cell r="H192" t="str">
            <v>UAP-AC-LR     UAP-AC-LR     UAP-AC-LR     UAP-AC-LR     UAP-AC-LR</v>
          </cell>
        </row>
        <row r="193">
          <cell r="A193">
            <v>921</v>
          </cell>
          <cell r="B193" t="str">
            <v xml:space="preserve">Vitória Park Shop. </v>
          </cell>
          <cell r="C193" t="str">
            <v>pe</v>
          </cell>
          <cell r="D193" t="str">
            <v>P/M</v>
          </cell>
          <cell r="E193" t="str">
            <v>P</v>
          </cell>
          <cell r="F193">
            <v>5</v>
          </cell>
          <cell r="G193" t="str">
            <v>Ubiquiti</v>
          </cell>
          <cell r="H193" t="str">
            <v>UAP-AC-LR     UAP-AC-LR     UAP-AC-LR     UAP-AC-LR     UAP-AC-LR</v>
          </cell>
        </row>
        <row r="194">
          <cell r="A194">
            <v>922</v>
          </cell>
          <cell r="B194" t="str">
            <v xml:space="preserve">Paulo Afonso </v>
          </cell>
          <cell r="C194" t="str">
            <v>ba</v>
          </cell>
          <cell r="D194" t="str">
            <v>P/M</v>
          </cell>
          <cell r="E194" t="str">
            <v>M</v>
          </cell>
          <cell r="F194">
            <v>4</v>
          </cell>
          <cell r="G194" t="str">
            <v>Ubiquiti</v>
          </cell>
          <cell r="H194" t="str">
            <v>UAP-AC-LR     UAP-AC-LR     UAP-AC-LR     UAP-AC-LR</v>
          </cell>
        </row>
        <row r="195">
          <cell r="A195">
            <v>924</v>
          </cell>
          <cell r="B195" t="str">
            <v xml:space="preserve">Pátio Cianê Shop. </v>
          </cell>
          <cell r="C195" t="str">
            <v>sp</v>
          </cell>
          <cell r="D195" t="str">
            <v>P/M</v>
          </cell>
          <cell r="E195" t="str">
            <v>M</v>
          </cell>
          <cell r="F195">
            <v>5</v>
          </cell>
          <cell r="G195" t="str">
            <v>IAP</v>
          </cell>
          <cell r="H195" t="str">
            <v>Aruba - 303     Aruba - 303     Aruba - 303     Aruba - 303     Aruba - 305</v>
          </cell>
        </row>
        <row r="196">
          <cell r="A196">
            <v>925</v>
          </cell>
          <cell r="B196" t="str">
            <v xml:space="preserve">North Shop. Jóquei </v>
          </cell>
          <cell r="C196" t="str">
            <v>ce</v>
          </cell>
          <cell r="D196" t="str">
            <v>P/M</v>
          </cell>
          <cell r="E196" t="str">
            <v>M</v>
          </cell>
          <cell r="F196">
            <v>6</v>
          </cell>
          <cell r="G196" t="str">
            <v>Ubiquiti</v>
          </cell>
          <cell r="H196" t="str">
            <v>UAP-AC-LR     UAP-AC-LR     UAP-AC-LR     UAP-AC-LR     UAP-AC-LR     UAP-AC-LR</v>
          </cell>
        </row>
        <row r="197">
          <cell r="A197">
            <v>926</v>
          </cell>
          <cell r="B197" t="str">
            <v xml:space="preserve">PAULISTA </v>
          </cell>
          <cell r="C197" t="str">
            <v>pe</v>
          </cell>
          <cell r="D197" t="str">
            <v>G/GG</v>
          </cell>
          <cell r="E197" t="str">
            <v>G</v>
          </cell>
          <cell r="F197">
            <v>5</v>
          </cell>
          <cell r="G197" t="str">
            <v>Ubiquiti</v>
          </cell>
          <cell r="H197" t="str">
            <v>UAP-AC-LR     UAP-AC-LR     UAP-AC-LR     UAP-AC-LR     UAP-AC-LR</v>
          </cell>
        </row>
        <row r="198">
          <cell r="A198">
            <v>929</v>
          </cell>
          <cell r="B198" t="str">
            <v xml:space="preserve">Shop. Contagem </v>
          </cell>
          <cell r="C198" t="str">
            <v>mg</v>
          </cell>
          <cell r="D198" t="str">
            <v>P/M</v>
          </cell>
          <cell r="E198" t="str">
            <v>G</v>
          </cell>
          <cell r="F198">
            <v>4</v>
          </cell>
          <cell r="G198" t="str">
            <v>Ubiquiti</v>
          </cell>
          <cell r="H198" t="str">
            <v>UAP-AC-LR     UAP-AC-LR     UAP-AC-LR     UAP-AC-LR</v>
          </cell>
        </row>
        <row r="199">
          <cell r="A199">
            <v>930</v>
          </cell>
          <cell r="B199" t="str">
            <v>Boulevard Londrina Shop.  CHAMADO ABERTO</v>
          </cell>
          <cell r="C199" t="str">
            <v>pr</v>
          </cell>
          <cell r="D199" t="str">
            <v>P/M</v>
          </cell>
          <cell r="E199" t="str">
            <v>M</v>
          </cell>
          <cell r="F199">
            <v>3</v>
          </cell>
          <cell r="G199" t="str">
            <v>IAP</v>
          </cell>
          <cell r="H199" t="str">
            <v>Aruba - 205    Aruba - 205    Aruba - 205</v>
          </cell>
        </row>
        <row r="200">
          <cell r="A200">
            <v>934</v>
          </cell>
          <cell r="B200" t="str">
            <v xml:space="preserve">Passeio das Águas Shop. </v>
          </cell>
          <cell r="C200" t="str">
            <v>go</v>
          </cell>
          <cell r="D200" t="str">
            <v>P/M</v>
          </cell>
          <cell r="E200" t="str">
            <v>G</v>
          </cell>
          <cell r="F200">
            <v>3</v>
          </cell>
          <cell r="G200" t="str">
            <v>IAP</v>
          </cell>
          <cell r="H200" t="str">
            <v>Aruba - 303 Aruba - 303 Aruba - 303</v>
          </cell>
        </row>
        <row r="201">
          <cell r="A201">
            <v>936</v>
          </cell>
          <cell r="B201" t="str">
            <v xml:space="preserve">Itapecerica Shop. </v>
          </cell>
          <cell r="C201" t="str">
            <v>sp</v>
          </cell>
          <cell r="D201" t="str">
            <v>P/M</v>
          </cell>
          <cell r="E201" t="str">
            <v>M</v>
          </cell>
          <cell r="F201">
            <v>5</v>
          </cell>
          <cell r="G201" t="str">
            <v>IAP</v>
          </cell>
          <cell r="H201" t="str">
            <v>Aruba - 303     Aruba - 303     Aruba - 303     Aruba - 303     Aruba - 303</v>
          </cell>
        </row>
        <row r="202">
          <cell r="A202">
            <v>938</v>
          </cell>
          <cell r="B202" t="str">
            <v xml:space="preserve">Shop. DB Nova Cidade </v>
          </cell>
          <cell r="C202" t="str">
            <v>am</v>
          </cell>
          <cell r="D202" t="str">
            <v>P/M</v>
          </cell>
          <cell r="E202" t="str">
            <v>P</v>
          </cell>
          <cell r="F202">
            <v>5</v>
          </cell>
          <cell r="G202" t="str">
            <v>IAP</v>
          </cell>
          <cell r="H202" t="str">
            <v>Aruba - 205     Aruba - 205     Aruba - 205     Aruba - 205     Aruba - 205</v>
          </cell>
        </row>
        <row r="203">
          <cell r="A203">
            <v>939</v>
          </cell>
          <cell r="B203" t="str">
            <v xml:space="preserve">Tietê Plaza Shop. </v>
          </cell>
          <cell r="C203" t="str">
            <v>sp</v>
          </cell>
          <cell r="D203" t="str">
            <v>P/M</v>
          </cell>
          <cell r="E203" t="str">
            <v>M</v>
          </cell>
          <cell r="F203">
            <v>4</v>
          </cell>
          <cell r="G203" t="str">
            <v>Ubiquiti</v>
          </cell>
          <cell r="H203" t="str">
            <v>UAP-AC-LR     UAP-AC-LR     UAP-AC-LR     UAP-AC-LR</v>
          </cell>
        </row>
        <row r="204">
          <cell r="A204">
            <v>943</v>
          </cell>
          <cell r="B204" t="str">
            <v xml:space="preserve">Castanhal  </v>
          </cell>
          <cell r="C204" t="str">
            <v>pa</v>
          </cell>
          <cell r="D204" t="str">
            <v>P/M</v>
          </cell>
          <cell r="E204" t="str">
            <v>PP</v>
          </cell>
          <cell r="F204">
            <v>3</v>
          </cell>
          <cell r="G204" t="str">
            <v>Ubiquiti</v>
          </cell>
          <cell r="H204" t="str">
            <v xml:space="preserve">UAP-AC-LR     UAP-AC-LR     UAP-AC-LR     </v>
          </cell>
        </row>
        <row r="205">
          <cell r="A205">
            <v>944</v>
          </cell>
          <cell r="B205" t="str">
            <v xml:space="preserve">Shopping Teresina </v>
          </cell>
          <cell r="C205" t="str">
            <v>pi</v>
          </cell>
          <cell r="D205" t="str">
            <v>G/GG</v>
          </cell>
          <cell r="E205" t="str">
            <v>GG</v>
          </cell>
          <cell r="F205">
            <v>5</v>
          </cell>
          <cell r="G205" t="str">
            <v>IAP</v>
          </cell>
          <cell r="H205" t="str">
            <v>Aruba - 205     Aruba - 205     Aruba - 205     Aruba - 205     Aruba - 205</v>
          </cell>
        </row>
        <row r="206">
          <cell r="A206">
            <v>951</v>
          </cell>
          <cell r="B206" t="str">
            <v xml:space="preserve">São Luís Shop. </v>
          </cell>
          <cell r="C206" t="str">
            <v>ma</v>
          </cell>
          <cell r="D206" t="str">
            <v>P/M</v>
          </cell>
          <cell r="E206" t="str">
            <v>G</v>
          </cell>
          <cell r="F206">
            <v>4</v>
          </cell>
          <cell r="G206" t="str">
            <v>Ubiquiti</v>
          </cell>
          <cell r="H206" t="str">
            <v>UAP-AC-LR     UAP-AC-LR     UAP-AC-LR     UAP-AC-LR</v>
          </cell>
        </row>
        <row r="207">
          <cell r="A207">
            <v>957</v>
          </cell>
          <cell r="B207" t="str">
            <v xml:space="preserve">Manaus </v>
          </cell>
          <cell r="C207" t="str">
            <v>am</v>
          </cell>
          <cell r="D207" t="str">
            <v>G/GG</v>
          </cell>
          <cell r="E207" t="str">
            <v>G</v>
          </cell>
          <cell r="F207">
            <v>6</v>
          </cell>
          <cell r="G207" t="str">
            <v>IAP</v>
          </cell>
          <cell r="H207" t="str">
            <v>Aruba - 205     Aruba - 205     Aruba - 205     Aruba - 205     Aruba - 205     Aruba - 205</v>
          </cell>
        </row>
        <row r="208">
          <cell r="A208">
            <v>958</v>
          </cell>
          <cell r="B208" t="str">
            <v xml:space="preserve">Shopping Nova Iguaçu </v>
          </cell>
          <cell r="C208" t="str">
            <v>rj</v>
          </cell>
          <cell r="D208" t="str">
            <v>G/GG</v>
          </cell>
          <cell r="E208" t="str">
            <v>G</v>
          </cell>
          <cell r="F208">
            <v>5</v>
          </cell>
          <cell r="G208" t="str">
            <v>IAP</v>
          </cell>
          <cell r="H208" t="str">
            <v>Aruba - 205     Aruba - 205     Aruba - 205     Aruba - 205     Aruba - 205</v>
          </cell>
        </row>
        <row r="209">
          <cell r="A209" t="str">
            <v>CD 807</v>
          </cell>
          <cell r="B209"/>
          <cell r="C209"/>
          <cell r="D209"/>
          <cell r="E209"/>
          <cell r="F209">
            <v>1</v>
          </cell>
          <cell r="G209" t="str">
            <v>IAP</v>
          </cell>
          <cell r="H209" t="str">
            <v>Aruba - 303</v>
          </cell>
        </row>
        <row r="210">
          <cell r="A210" t="str">
            <v>CD 811</v>
          </cell>
          <cell r="B210"/>
          <cell r="C210"/>
          <cell r="D210"/>
          <cell r="E210"/>
          <cell r="F210">
            <v>6</v>
          </cell>
          <cell r="G210" t="str">
            <v>IAP</v>
          </cell>
          <cell r="H210" t="str">
            <v>Aruba-303</v>
          </cell>
        </row>
        <row r="211">
          <cell r="A211" t="str">
            <v>CD 818</v>
          </cell>
          <cell r="B211"/>
          <cell r="C211"/>
          <cell r="D211"/>
          <cell r="E211"/>
          <cell r="F211">
            <v>1</v>
          </cell>
          <cell r="G211" t="str">
            <v>IAP</v>
          </cell>
          <cell r="H211" t="str">
            <v>Aruba - 303</v>
          </cell>
        </row>
        <row r="212">
          <cell r="A212" t="str">
            <v>CD 820</v>
          </cell>
          <cell r="B212"/>
          <cell r="C212"/>
          <cell r="D212"/>
          <cell r="E212"/>
          <cell r="F212">
            <v>55</v>
          </cell>
          <cell r="G212" t="str">
            <v>IAP</v>
          </cell>
          <cell r="H212" t="str">
            <v>Aruba - 303 Aruba - 305</v>
          </cell>
        </row>
        <row r="213">
          <cell r="A213" t="str">
            <v>EC 900</v>
          </cell>
          <cell r="B213"/>
          <cell r="C213"/>
          <cell r="D213"/>
          <cell r="E213"/>
          <cell r="F213">
            <v>40</v>
          </cell>
          <cell r="G213" t="str">
            <v>IAP</v>
          </cell>
          <cell r="H213" t="str">
            <v>Aruba - 303     Aruba - 305</v>
          </cell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</sheetData>
      <sheetData sheetId="3">
        <row r="3">
          <cell r="A3">
            <v>22</v>
          </cell>
          <cell r="B3" t="str">
            <v>HPE 1910-24-PoE+                       HPE 1910-24-PoE+</v>
          </cell>
          <cell r="C3" t="str">
            <v>10.8.64.8     10.8.64.9</v>
          </cell>
          <cell r="D3">
            <v>2</v>
          </cell>
        </row>
        <row r="4">
          <cell r="A4">
            <v>43</v>
          </cell>
          <cell r="B4" t="str">
            <v>HP 1910-24-PoE+                             HP 1910-24-PoE+</v>
          </cell>
          <cell r="C4" t="str">
            <v>129.43.0.8     129.43.0.9</v>
          </cell>
          <cell r="D4">
            <v>2</v>
          </cell>
        </row>
        <row r="5">
          <cell r="A5">
            <v>80</v>
          </cell>
          <cell r="B5" t="str">
            <v>Cisco                                              Cisco</v>
          </cell>
          <cell r="C5" t="str">
            <v>10.3.7.8     10.3.7.9</v>
          </cell>
          <cell r="D5">
            <v>2</v>
          </cell>
        </row>
        <row r="6">
          <cell r="A6">
            <v>87</v>
          </cell>
          <cell r="B6" t="str">
            <v xml:space="preserve">HPE OfficeConnect Switch 1920S                                        HPE OfficeConnect Switch 1920S                                                                      </v>
          </cell>
          <cell r="C6" t="str">
            <v>10.3.8.9   10.3.8.8</v>
          </cell>
          <cell r="D6">
            <v>2</v>
          </cell>
        </row>
        <row r="7">
          <cell r="A7">
            <v>120</v>
          </cell>
          <cell r="B7" t="str">
            <v xml:space="preserve">HPE OfficeConnect Switch 1920S                                     HP 1910-24-PoE+   </v>
          </cell>
          <cell r="C7" t="str">
            <v>10.3.12.8   10.3.12.9</v>
          </cell>
          <cell r="D7">
            <v>2</v>
          </cell>
        </row>
        <row r="8">
          <cell r="A8">
            <v>125</v>
          </cell>
          <cell r="B8" t="str">
            <v>HP 1910-24-PoE+                             HP 1910-24-PoE+</v>
          </cell>
          <cell r="C8" t="str">
            <v>10.3.13.8     10.3.13.9</v>
          </cell>
          <cell r="D8">
            <v>2</v>
          </cell>
        </row>
        <row r="9">
          <cell r="A9">
            <v>130</v>
          </cell>
          <cell r="B9" t="str">
            <v>TP-Link-2428+POE                           TP-Link-2428+POE</v>
          </cell>
          <cell r="C9" t="str">
            <v>129.130.0.8     129.130.0.9</v>
          </cell>
          <cell r="D9">
            <v>2</v>
          </cell>
        </row>
        <row r="10">
          <cell r="A10">
            <v>133</v>
          </cell>
          <cell r="B10" t="str">
            <v xml:space="preserve">HPE OfficeConnect Switch 1920S          HPE OfficeConnect Switch 1920S           HPE OfficeConnect Switch 1920S </v>
          </cell>
          <cell r="C10" t="str">
            <v>10.7.16.7     10.7.16.8      10.7.16.9</v>
          </cell>
          <cell r="D10">
            <v>3</v>
          </cell>
        </row>
        <row r="11">
          <cell r="A11">
            <v>135</v>
          </cell>
          <cell r="B11" t="str">
            <v>TP-Link-2428+POE                           TP-Link-2428+POE</v>
          </cell>
          <cell r="C11" t="str">
            <v>10.8.10.8     10.8.10.9</v>
          </cell>
          <cell r="D11">
            <v>2</v>
          </cell>
        </row>
        <row r="12">
          <cell r="A12">
            <v>136</v>
          </cell>
          <cell r="B12" t="str">
            <v>HPE OfficeConnect Switch 1920S     HPE OfficeConnect Switch 1920S</v>
          </cell>
          <cell r="C12" t="str">
            <v>129.136.0.8       129.136.0.9</v>
          </cell>
          <cell r="D12">
            <v>2</v>
          </cell>
        </row>
        <row r="13">
          <cell r="A13">
            <v>140</v>
          </cell>
          <cell r="B13" t="str">
            <v>HPE OfficeConnect Switch 1920S                     HPE OfficeConnect Switch 1920S</v>
          </cell>
          <cell r="C13" t="str">
            <v>10.3.15.7     10.3.15.8</v>
          </cell>
          <cell r="D13">
            <v>2</v>
          </cell>
        </row>
        <row r="14">
          <cell r="A14">
            <v>142</v>
          </cell>
          <cell r="B14" t="str">
            <v>Cisco                                                      Cisco</v>
          </cell>
          <cell r="C14" t="str">
            <v>10.3.16.8     10.3.16.9</v>
          </cell>
          <cell r="D14">
            <v>2</v>
          </cell>
        </row>
        <row r="15">
          <cell r="A15">
            <v>150</v>
          </cell>
          <cell r="B15" t="str">
            <v xml:space="preserve">HP 1910-24-PoE+                          HP 1910-24-PoE+   </v>
          </cell>
          <cell r="C15" t="str">
            <v>10.8.67.8   10.8.67.9</v>
          </cell>
          <cell r="D15">
            <v>2</v>
          </cell>
        </row>
        <row r="16">
          <cell r="A16">
            <v>160</v>
          </cell>
          <cell r="B16" t="str">
            <v xml:space="preserve">HP 1910-24-PoE+                                          HP 1910-24-PoE+      </v>
          </cell>
          <cell r="C16" t="str">
            <v>10.3.20.8 10.3.20.9</v>
          </cell>
          <cell r="D16">
            <v>2</v>
          </cell>
        </row>
        <row r="17">
          <cell r="A17">
            <v>165</v>
          </cell>
          <cell r="B17" t="str">
            <v>HPE OfficeConnect Switch 1920S                                           HPE OfficeConnect Switch 1920S</v>
          </cell>
          <cell r="C17" t="str">
            <v>10.7.165.8     10.7.165.9</v>
          </cell>
          <cell r="D17">
            <v>2</v>
          </cell>
        </row>
        <row r="18">
          <cell r="A18">
            <v>176</v>
          </cell>
          <cell r="B18" t="str">
            <v xml:space="preserve">    HPE OfficeConnect Switch 1920S                                              HPE OfficeConnect Switch 1920S </v>
          </cell>
          <cell r="C18" t="str">
            <v xml:space="preserve">129.176.0.7  129.176.0.8     129.176.0.9     </v>
          </cell>
          <cell r="D18">
            <v>3</v>
          </cell>
        </row>
        <row r="19">
          <cell r="A19">
            <v>178</v>
          </cell>
          <cell r="B19" t="str">
            <v>Cisco                                               Cisco</v>
          </cell>
          <cell r="C19" t="str">
            <v>129.178.0.8     129.178.0.9</v>
          </cell>
          <cell r="D19">
            <v>2</v>
          </cell>
        </row>
        <row r="20">
          <cell r="A20">
            <v>180</v>
          </cell>
          <cell r="B20" t="str">
            <v xml:space="preserve">HPE OfficeConnect Switch 1920S                HPE OfficeConnect Switch 1920S     </v>
          </cell>
          <cell r="C20" t="str">
            <v xml:space="preserve">10.7.180.7     10.7.180.8     </v>
          </cell>
          <cell r="D20" t="str">
            <v xml:space="preserve">
2</v>
          </cell>
        </row>
        <row r="21">
          <cell r="A21">
            <v>196</v>
          </cell>
          <cell r="B21" t="str">
            <v>HP 1910-24-PoE+                             HP 1910-24-PoE+</v>
          </cell>
          <cell r="C21" t="str">
            <v>10.3.27.8     10.3.27.9</v>
          </cell>
          <cell r="D21">
            <v>2</v>
          </cell>
        </row>
        <row r="22">
          <cell r="A22">
            <v>508</v>
          </cell>
          <cell r="B22" t="str">
            <v>HPE OfficeConnect Switch 1920S                           HP 1910-24-PoE+</v>
          </cell>
          <cell r="C22" t="str">
            <v>10.8.18.7      10.8.18.9</v>
          </cell>
          <cell r="D22">
            <v>2</v>
          </cell>
        </row>
        <row r="23">
          <cell r="A23">
            <v>510</v>
          </cell>
          <cell r="B23" t="str">
            <v>HPE OfficeConnect Switch 1920S                       HPE OfficeConnect Switch 1920S                         HPE OfficeConnect Switch 1920S</v>
          </cell>
          <cell r="C23" t="str">
            <v>10.7.32.7     10.7.32.8      10.7.32.9</v>
          </cell>
          <cell r="D23">
            <v>3</v>
          </cell>
        </row>
        <row r="24">
          <cell r="A24">
            <v>512</v>
          </cell>
          <cell r="B24" t="str">
            <v>HPE OfficeConnect Switch 1920S                                 HP 1910-24-PoE+</v>
          </cell>
          <cell r="C24" t="str">
            <v>10.8.19.8     10.8.19.9</v>
          </cell>
          <cell r="D24">
            <v>2</v>
          </cell>
        </row>
        <row r="25">
          <cell r="A25">
            <v>514</v>
          </cell>
          <cell r="B25" t="str">
            <v>TP-Link-2428+POE                            TP-Link-2428+POE</v>
          </cell>
          <cell r="C25" t="str">
            <v>10.3.30.8     10.3.30.9</v>
          </cell>
          <cell r="D25">
            <v>2</v>
          </cell>
        </row>
        <row r="26">
          <cell r="A26">
            <v>515</v>
          </cell>
          <cell r="B26" t="str">
            <v xml:space="preserve">HPE OfficeConnect Switch 1920S                 HPE OfficeConnect Switch 1920S  </v>
          </cell>
          <cell r="C26" t="str">
            <v>10.7.34.8     10.7.34.9</v>
          </cell>
          <cell r="D26">
            <v>2</v>
          </cell>
        </row>
        <row r="27">
          <cell r="A27">
            <v>517</v>
          </cell>
          <cell r="B27" t="str">
            <v>Cisco                                                 Cisco                                              Cisco</v>
          </cell>
          <cell r="C27" t="str">
            <v>129.213.0.7     129.213.0.8     129.213.0.9</v>
          </cell>
          <cell r="D27">
            <v>3</v>
          </cell>
        </row>
        <row r="28">
          <cell r="A28">
            <v>518</v>
          </cell>
          <cell r="B28" t="str">
            <v>HPE OfficeConnect Switch 1920S    HPE OfficeConnect Switch 1920S</v>
          </cell>
          <cell r="C28" t="str">
            <v>10.7.118.8    10.7.118.9</v>
          </cell>
          <cell r="D28">
            <v>2</v>
          </cell>
        </row>
        <row r="29">
          <cell r="A29">
            <v>519</v>
          </cell>
          <cell r="B29" t="str">
            <v>HP 1910-24-PoE+                                 HPE OfficeConnect Switch 1920S</v>
          </cell>
          <cell r="C29" t="str">
            <v>129.215.0.8     129.215.0.9</v>
          </cell>
          <cell r="D29">
            <v>2</v>
          </cell>
        </row>
        <row r="30">
          <cell r="A30">
            <v>520</v>
          </cell>
          <cell r="B30" t="str">
            <v xml:space="preserve">HPE OfficeConnect Switch 1920S                              HPE OfficeConnect Switch 1920S </v>
          </cell>
          <cell r="C30" t="str">
            <v>129.216.0.7     129.216.0.8</v>
          </cell>
          <cell r="D30">
            <v>2</v>
          </cell>
        </row>
        <row r="31">
          <cell r="A31">
            <v>525</v>
          </cell>
          <cell r="B31" t="str">
            <v xml:space="preserve">HP 1910-24-PoE+                                       HP 1910-24-PoE+   </v>
          </cell>
          <cell r="C31" t="str">
            <v>10.3.32.8     10.3.32.9</v>
          </cell>
          <cell r="D31">
            <v>2</v>
          </cell>
        </row>
        <row r="32">
          <cell r="A32">
            <v>526</v>
          </cell>
          <cell r="B32" t="str">
            <v>Cisco                                                      Cisco</v>
          </cell>
          <cell r="C32" t="str">
            <v>10.8.23.8     10.8.23.9</v>
          </cell>
          <cell r="D32">
            <v>2</v>
          </cell>
        </row>
        <row r="33">
          <cell r="A33">
            <v>527</v>
          </cell>
          <cell r="B33" t="str">
            <v xml:space="preserve">HPE OfficeConnect Switch 1920S           HPE OfficeConnect Switch 1920S     </v>
          </cell>
          <cell r="C33" t="str">
            <v>10.3.33.8     10.3.33.9</v>
          </cell>
          <cell r="D33">
            <v>2</v>
          </cell>
        </row>
        <row r="34">
          <cell r="A34">
            <v>529</v>
          </cell>
          <cell r="B34" t="str">
            <v>Cisco                                                      Cisco</v>
          </cell>
          <cell r="C34" t="str">
            <v>129.225.0.8     129.225.0.9</v>
          </cell>
          <cell r="D34">
            <v>2</v>
          </cell>
        </row>
        <row r="35">
          <cell r="A35">
            <v>531</v>
          </cell>
          <cell r="B35" t="str">
            <v>HP 1910-24-PoE+                           HPE OfficeConnect Switch 1920S</v>
          </cell>
          <cell r="C35" t="str">
            <v>10.3.36.8     10.3.36.9</v>
          </cell>
          <cell r="D35">
            <v>2</v>
          </cell>
        </row>
        <row r="36">
          <cell r="A36">
            <v>534</v>
          </cell>
          <cell r="B36" t="str">
            <v>HPE OfficeConnect Switch 1920S     HPE OfficeConnect Switch 1920S</v>
          </cell>
          <cell r="C36" t="str">
            <v>129.230.0.8     129.230.0.9</v>
          </cell>
          <cell r="D36">
            <v>2</v>
          </cell>
        </row>
        <row r="37">
          <cell r="A37">
            <v>535</v>
          </cell>
          <cell r="B37"/>
          <cell r="C37" t="str">
            <v>129.231.0.8     129.231.0.9</v>
          </cell>
          <cell r="D37">
            <v>2</v>
          </cell>
        </row>
        <row r="38">
          <cell r="A38">
            <v>536</v>
          </cell>
          <cell r="B38" t="str">
            <v>Cisco                                                      Cisco</v>
          </cell>
          <cell r="C38" t="str">
            <v>10.3.37.8     10.3.37.9</v>
          </cell>
          <cell r="D38">
            <v>2</v>
          </cell>
        </row>
        <row r="39">
          <cell r="A39">
            <v>544</v>
          </cell>
          <cell r="B39" t="str">
            <v>HPE OfficeConnect Switch 1920S                                   HPE OfficeConnect Switch 1920S                   HPE OfficeConnect Switch 1920S</v>
          </cell>
          <cell r="C39" t="str">
            <v>129.240.0.8     129.240.0.9</v>
          </cell>
          <cell r="D39">
            <v>3</v>
          </cell>
        </row>
        <row r="40">
          <cell r="A40">
            <v>546</v>
          </cell>
          <cell r="B40" t="str">
            <v>Cisco                                                      Cisco</v>
          </cell>
          <cell r="C40" t="str">
            <v>10.7.44.8     10.7.44.9</v>
          </cell>
          <cell r="D40">
            <v>2</v>
          </cell>
        </row>
        <row r="41">
          <cell r="A41">
            <v>547</v>
          </cell>
          <cell r="B41" t="str">
            <v>Cisco                                                      Cisco</v>
          </cell>
          <cell r="C41" t="str">
            <v>10.7.45.8     10.7.45.9</v>
          </cell>
          <cell r="D41">
            <v>2</v>
          </cell>
        </row>
        <row r="42">
          <cell r="A42">
            <v>548</v>
          </cell>
          <cell r="B42" t="str">
            <v xml:space="preserve">Cisco                                                 Cisco                                              HPE OfficeConnect Switch 1920S                                            HPE OfficeConnect Switch 1920S </v>
          </cell>
          <cell r="C42" t="str">
            <v>129.76.0.6     129.76.0.7     129.76.0.8     129.76.0.9</v>
          </cell>
          <cell r="D42">
            <v>4</v>
          </cell>
        </row>
        <row r="43">
          <cell r="A43">
            <v>549</v>
          </cell>
          <cell r="B43" t="str">
            <v xml:space="preserve">HPE OfficeConnect Switch 1920S              HP 1910-24-PoE+              </v>
          </cell>
          <cell r="C43" t="str">
            <v>10.7.149.8      10.7.149.9</v>
          </cell>
          <cell r="D43">
            <v>2</v>
          </cell>
        </row>
        <row r="44">
          <cell r="A44">
            <v>550</v>
          </cell>
          <cell r="B44" t="str">
            <v xml:space="preserve">HPE OfficeConnect Switch 1920S                             HPE OfficeConnect Switch 1920S </v>
          </cell>
          <cell r="C44" t="str">
            <v>10.7.150.7      10.7.150.9</v>
          </cell>
          <cell r="D44">
            <v>2</v>
          </cell>
        </row>
        <row r="45">
          <cell r="A45">
            <v>553</v>
          </cell>
          <cell r="B45" t="str">
            <v>HPE OfficeConnect Switch 1920S       HPE OfficeConnect Switch 1920S</v>
          </cell>
          <cell r="C45" t="str">
            <v>10.3.42.8     10.3.42.9</v>
          </cell>
          <cell r="D45">
            <v>2</v>
          </cell>
        </row>
        <row r="46">
          <cell r="A46">
            <v>558</v>
          </cell>
          <cell r="B46" t="str">
            <v xml:space="preserve">HP 1910-24-PoE+                                                HP 1910-24-PoE+ </v>
          </cell>
          <cell r="C46" t="str">
            <v>10.3.46.8     10.3.46.9</v>
          </cell>
          <cell r="D46">
            <v>2</v>
          </cell>
        </row>
        <row r="47">
          <cell r="A47">
            <v>559</v>
          </cell>
          <cell r="B47" t="str">
            <v xml:space="preserve">HPE OfficeConnect Switch 1920S                            HPE OfficeConnect Switch 1920S                        HPE OfficeConnect Switch 1920S   </v>
          </cell>
          <cell r="C47" t="str">
            <v>10.7.159.7     10.7.159.8     10.7.159.6</v>
          </cell>
          <cell r="D47">
            <v>3</v>
          </cell>
        </row>
        <row r="48">
          <cell r="A48">
            <v>560</v>
          </cell>
          <cell r="B48" t="str">
            <v>HPE OfficeConnect Switch 1920S                               HPE OfficeConnect Switch 1920S</v>
          </cell>
          <cell r="C48" t="str">
            <v>10.3.47.8     10.3.47.9</v>
          </cell>
          <cell r="D48">
            <v>2</v>
          </cell>
        </row>
        <row r="49">
          <cell r="A49">
            <v>563</v>
          </cell>
          <cell r="B49" t="str">
            <v>HPE OfficeConnect Switch 1920S                            HPE OfficeConnect Switch 1920S                           HPE OfficeConnect Switch 1920S</v>
          </cell>
          <cell r="C49" t="str">
            <v>10.7.50.7     10.7.50.8     10.7.50.9</v>
          </cell>
          <cell r="D49">
            <v>3</v>
          </cell>
        </row>
        <row r="50">
          <cell r="A50">
            <v>564</v>
          </cell>
          <cell r="B50" t="str">
            <v xml:space="preserve">HPE OfficeConnect Switch 1920S      HPE OfficeConnect Switch 1920S  </v>
          </cell>
          <cell r="C50" t="str">
            <v>129.92.0.8     129.92.0.9</v>
          </cell>
          <cell r="D50">
            <v>2</v>
          </cell>
        </row>
        <row r="51">
          <cell r="A51">
            <v>565</v>
          </cell>
          <cell r="B51" t="str">
            <v>HPE OfficeConnect Switch 1920S               HPE OfficeConnect Switch 1920S                   HPE OfficeConnect Switch 1920S</v>
          </cell>
          <cell r="C51" t="str">
            <v>10.3.50.7  10.3.50.8  10.3.50.9</v>
          </cell>
          <cell r="D51">
            <v>3</v>
          </cell>
        </row>
        <row r="52">
          <cell r="A52">
            <v>566</v>
          </cell>
          <cell r="B52" t="str">
            <v>Cisco                                                      Cisco</v>
          </cell>
          <cell r="C52" t="str">
            <v>10.3.51.8      10.3.51.9</v>
          </cell>
          <cell r="D52">
            <v>2</v>
          </cell>
        </row>
        <row r="53">
          <cell r="A53">
            <v>568</v>
          </cell>
          <cell r="B53" t="str">
            <v>HPE OfficeConnect Switch 1920S          HPE OfficeConnect Switch 1920S</v>
          </cell>
          <cell r="C53" t="str">
            <v>10.3.53.8     10.3.53.9</v>
          </cell>
          <cell r="D53">
            <v>2</v>
          </cell>
        </row>
        <row r="54">
          <cell r="A54">
            <v>571</v>
          </cell>
          <cell r="B54" t="str">
            <v xml:space="preserve">TP-Link-2428+POE                        TP-Link-2428+POE  </v>
          </cell>
          <cell r="C54" t="str">
            <v>129.137.0.8     129.137.0.9</v>
          </cell>
          <cell r="D54">
            <v>2</v>
          </cell>
        </row>
        <row r="55">
          <cell r="A55">
            <v>573</v>
          </cell>
          <cell r="B55" t="str">
            <v>HPE 1910-24- PoE +                                    HPE OfficeConnect Switch 1920S</v>
          </cell>
          <cell r="C55" t="str">
            <v>129.74.0.8     129.74.0.9</v>
          </cell>
          <cell r="D55">
            <v>2</v>
          </cell>
        </row>
        <row r="56">
          <cell r="A56">
            <v>575</v>
          </cell>
          <cell r="B56" t="str">
            <v xml:space="preserve">HPE OfficeConnect Switch 1920S     HPE OfficeConnect Switch 1920S    </v>
          </cell>
          <cell r="C56" t="str">
            <v>10.3.55.8     10.3.55.9</v>
          </cell>
          <cell r="D56">
            <v>2</v>
          </cell>
        </row>
        <row r="57">
          <cell r="A57">
            <v>576</v>
          </cell>
          <cell r="B57" t="str">
            <v>HPE OfficeConnect Switch 1920S                           HPE OfficeConnect Switch 1920S                                  HPE OfficeConnect Switch 1920S</v>
          </cell>
          <cell r="C57" t="str">
            <v>10.7.56.7     10.7.56.8      19.7.56.9</v>
          </cell>
          <cell r="D57">
            <v>3</v>
          </cell>
        </row>
        <row r="58">
          <cell r="A58">
            <v>577</v>
          </cell>
          <cell r="B58" t="str">
            <v>HPE OfficeConnect Switch 1920S      HPE OfficeConnect Switch 1920S</v>
          </cell>
          <cell r="C58" t="str">
            <v>129.33.0.8       129.33.0.9</v>
          </cell>
          <cell r="D58">
            <v>2</v>
          </cell>
        </row>
        <row r="59">
          <cell r="A59">
            <v>578</v>
          </cell>
          <cell r="B59" t="str">
            <v xml:space="preserve">TP-Link-2428+POE                        TP-Link-2428+POE  </v>
          </cell>
          <cell r="C59" t="str">
            <v>10.8.30.8     10.8.30.9</v>
          </cell>
          <cell r="D59">
            <v>2</v>
          </cell>
        </row>
        <row r="60">
          <cell r="A60">
            <v>579</v>
          </cell>
          <cell r="B60" t="str">
            <v xml:space="preserve"> HPE OfficeConnect Switch 1920S     HPE OfficeConnect Switch 1920S</v>
          </cell>
          <cell r="C60" t="str">
            <v>10.7.179.8   10.7.179.9</v>
          </cell>
          <cell r="D60">
            <v>2</v>
          </cell>
        </row>
        <row r="61">
          <cell r="A61">
            <v>580</v>
          </cell>
          <cell r="B61" t="str">
            <v>HPE OfficeConnect Switch 1920S       HPE OfficeConnect Switch 1920S</v>
          </cell>
          <cell r="C61" t="str">
            <v>129.145.0.8     129.145.0.9</v>
          </cell>
          <cell r="D61">
            <v>2</v>
          </cell>
        </row>
        <row r="62">
          <cell r="A62">
            <v>582</v>
          </cell>
          <cell r="B62" t="str">
            <v>HPE OfficeConnect Switch 1920S                            HPE 1910-24- PoE +</v>
          </cell>
          <cell r="C62" t="str">
            <v>10.8.31.8       10.8.31.9</v>
          </cell>
          <cell r="D62">
            <v>2</v>
          </cell>
        </row>
        <row r="63">
          <cell r="A63">
            <v>583</v>
          </cell>
          <cell r="B63" t="str">
            <v>HPE OfficeConnect Switch 1920S       HPE OfficeConnect Switch 1920S     HP V1905-24 Switch</v>
          </cell>
          <cell r="C63" t="str">
            <v>10.3.56.8     10.3.56.9     10.3.56.7</v>
          </cell>
          <cell r="D63">
            <v>3</v>
          </cell>
        </row>
        <row r="64">
          <cell r="A64">
            <v>586</v>
          </cell>
          <cell r="B64" t="str">
            <v xml:space="preserve">                     HPE 1910-24- PoE +                      HPE OfficeConnect Switch 1920S      HPE OfficeConnect Switch 1920S</v>
          </cell>
          <cell r="C64" t="str">
            <v>129.114.0.7   129.114.0.8   129.114.0.9</v>
          </cell>
          <cell r="D64">
            <v>3</v>
          </cell>
        </row>
        <row r="65">
          <cell r="A65">
            <v>589</v>
          </cell>
          <cell r="B65" t="str">
            <v xml:space="preserve">HPE OfficeConnect Switch 1920S       HPE 1910-24- PoE +  </v>
          </cell>
          <cell r="C65" t="str">
            <v>10.3.58.8     10.3.58.9</v>
          </cell>
          <cell r="D65">
            <v>2</v>
          </cell>
        </row>
        <row r="66">
          <cell r="A66">
            <v>590</v>
          </cell>
          <cell r="B66" t="str">
            <v xml:space="preserve">HPE OfficeConnect Switch 1920S                           HPE OfficeConnect Switch 1920S </v>
          </cell>
          <cell r="C66" t="str">
            <v>10.3.59.8     10.3.59.9</v>
          </cell>
          <cell r="D66">
            <v>2</v>
          </cell>
        </row>
        <row r="67">
          <cell r="A67">
            <v>594</v>
          </cell>
          <cell r="B67" t="str">
            <v xml:space="preserve">TP-Link-2428+POE                        TP-Link-2428+POE  </v>
          </cell>
          <cell r="C67" t="str">
            <v>10.8.34.8     10.8.34.9</v>
          </cell>
          <cell r="D67">
            <v>2</v>
          </cell>
        </row>
        <row r="68">
          <cell r="A68">
            <v>597</v>
          </cell>
          <cell r="B68" t="str">
            <v>Cisco                                                      Cisco                                              HPE OfficeConnect Switch 1920S</v>
          </cell>
          <cell r="C68" t="str">
            <v>10.3.62.8     10.3.62.9     10.3.62.7</v>
          </cell>
          <cell r="D68">
            <v>3</v>
          </cell>
        </row>
        <row r="69">
          <cell r="A69">
            <v>598</v>
          </cell>
          <cell r="B69" t="str">
            <v>HPE 1910-24- PoE +                          HPE OfficeConnect Switch 1920S</v>
          </cell>
          <cell r="C69" t="str">
            <v>129.108.0.8     129.108.0.9</v>
          </cell>
          <cell r="D69">
            <v>3</v>
          </cell>
        </row>
        <row r="70">
          <cell r="A70">
            <v>599</v>
          </cell>
          <cell r="B70" t="str">
            <v xml:space="preserve">TP-Link-2428+POE                        TP-Link-2428+POE  </v>
          </cell>
          <cell r="C70" t="str">
            <v>129.116.0.8     129.116.0.9</v>
          </cell>
          <cell r="D70">
            <v>2</v>
          </cell>
        </row>
        <row r="71">
          <cell r="A71">
            <v>600</v>
          </cell>
          <cell r="B71" t="str">
            <v>HPE OfficeConnect Switch 1920S                            HPE OfficeConnect Switch 1920S                                  HPE 1910-24- PoE +</v>
          </cell>
          <cell r="C71" t="str">
            <v>10.3.63.7     10.3.63.8     10.3.63.9</v>
          </cell>
          <cell r="D71">
            <v>3</v>
          </cell>
        </row>
        <row r="72">
          <cell r="A72">
            <v>601</v>
          </cell>
          <cell r="B72" t="str">
            <v>HPE OfficeConnect Switch 1920S                              HPE OfficeConnect Switch 1920S</v>
          </cell>
          <cell r="C72" t="str">
            <v>10.3.64.8     10.3.64.9</v>
          </cell>
          <cell r="D72">
            <v>2</v>
          </cell>
        </row>
        <row r="73">
          <cell r="A73">
            <v>604</v>
          </cell>
          <cell r="B73" t="str">
            <v>Cisco                                                      Cisco</v>
          </cell>
          <cell r="C73" t="str">
            <v>10.3.66.8     10.3.66.9</v>
          </cell>
          <cell r="D73">
            <v>2</v>
          </cell>
        </row>
        <row r="74">
          <cell r="A74">
            <v>605</v>
          </cell>
          <cell r="B74" t="str">
            <v xml:space="preserve">HPE 1910-24- PoE +                              TP-Link-2428+POE  </v>
          </cell>
          <cell r="C74" t="str">
            <v>129.103.0.8     129.103.0.9</v>
          </cell>
          <cell r="D74">
            <v>2</v>
          </cell>
        </row>
        <row r="75">
          <cell r="A75">
            <v>606</v>
          </cell>
          <cell r="B75" t="str">
            <v>HPE 1910-24- PoE +                                  HPE 1910-24- PoE +</v>
          </cell>
          <cell r="C75" t="str">
            <v>10.3.67.8     10.3.67.9</v>
          </cell>
          <cell r="D75">
            <v>2</v>
          </cell>
        </row>
        <row r="76">
          <cell r="A76">
            <v>607</v>
          </cell>
          <cell r="B76" t="str">
            <v>HPE OfficeConnect Switch 1920S           HPE OfficeConnect Switch 1920S</v>
          </cell>
          <cell r="C76" t="str">
            <v>129.17.0.8     129.17.0.9</v>
          </cell>
          <cell r="D76">
            <v>2</v>
          </cell>
        </row>
        <row r="77">
          <cell r="A77">
            <v>608</v>
          </cell>
          <cell r="B77" t="str">
            <v>HPE OfficeConnect Switch 1920S       HPE OfficeConnect Switch 1920S</v>
          </cell>
          <cell r="C77" t="str">
            <v>129.20.0.8     129.20.0.9</v>
          </cell>
          <cell r="D77">
            <v>2</v>
          </cell>
        </row>
        <row r="78">
          <cell r="A78">
            <v>610</v>
          </cell>
          <cell r="B78" t="str">
            <v>HPE 1910-24- PoE +                             HPE 1910-24- PoE +</v>
          </cell>
          <cell r="C78" t="str">
            <v>10.3.68.8     10.3.68.9</v>
          </cell>
          <cell r="D78">
            <v>2</v>
          </cell>
        </row>
        <row r="79">
          <cell r="A79">
            <v>613</v>
          </cell>
          <cell r="B79" t="str">
            <v>HPE 1910-24- PoE +                     Cisco                                              Cisco</v>
          </cell>
          <cell r="C79" t="str">
            <v>129.81.0.7     129.81.0.8     129.81.0.9</v>
          </cell>
          <cell r="D79">
            <v>3</v>
          </cell>
        </row>
        <row r="80">
          <cell r="A80">
            <v>617</v>
          </cell>
          <cell r="B80" t="str">
            <v>HPE 1910-24- PoE +                          HPE 1910-24- PoE +</v>
          </cell>
          <cell r="C80" t="str">
            <v>129.105.0.8     129.105.0.9</v>
          </cell>
          <cell r="D80">
            <v>2</v>
          </cell>
        </row>
        <row r="81">
          <cell r="A81">
            <v>618</v>
          </cell>
          <cell r="B81" t="str">
            <v>HPE OfficeConnect Switch 1920S                           Cisco</v>
          </cell>
          <cell r="C81" t="str">
            <v>10.3.69.7     10.3.69.9</v>
          </cell>
          <cell r="D81">
            <v>2</v>
          </cell>
        </row>
        <row r="82">
          <cell r="A82">
            <v>619</v>
          </cell>
          <cell r="B82" t="str">
            <v xml:space="preserve">HPE OfficeConnect Switch 1920S         HPE OfficeConnect Switch 1920S   </v>
          </cell>
          <cell r="C82" t="str">
            <v>129.40.0.8     129.40.0.9</v>
          </cell>
          <cell r="D82">
            <v>2</v>
          </cell>
        </row>
        <row r="83">
          <cell r="A83">
            <v>622</v>
          </cell>
          <cell r="B83" t="str">
            <v>HPE OfficeConnect Switch 1920S                   HPE OfficeConnect Switch 1920S</v>
          </cell>
          <cell r="C83" t="str">
            <v>10.7.222.8     10.7.222.9</v>
          </cell>
          <cell r="D83">
            <v>2</v>
          </cell>
        </row>
        <row r="84">
          <cell r="A84">
            <v>623</v>
          </cell>
          <cell r="B84" t="str">
            <v>HPE OfficeConnect Switch 1920S         HPE OfficeConnect Switch 1920S</v>
          </cell>
          <cell r="C84" t="str">
            <v>10.3.70.8    10.3.70.9</v>
          </cell>
          <cell r="D84">
            <v>2</v>
          </cell>
        </row>
        <row r="85">
          <cell r="A85">
            <v>624</v>
          </cell>
          <cell r="B85" t="str">
            <v>HPE OfficeConnect Switch 1920S           HPE OfficeConnect Switch 1920S                            HPE OfficeConnect Switch 1920S</v>
          </cell>
          <cell r="C85" t="str">
            <v>10.7.70.6     10.7.70.7     10.7.70.8</v>
          </cell>
          <cell r="D85">
            <v>3</v>
          </cell>
        </row>
        <row r="86">
          <cell r="A86">
            <v>625</v>
          </cell>
          <cell r="B86" t="str">
            <v xml:space="preserve">HPE OfficeConnect Switch 1920S                              HPE OfficeConnect Switch 1920S                           </v>
          </cell>
          <cell r="C86" t="str">
            <v>129.49.0.8   129.49.0.9</v>
          </cell>
          <cell r="D86">
            <v>2</v>
          </cell>
        </row>
        <row r="87">
          <cell r="A87">
            <v>626</v>
          </cell>
          <cell r="B87" t="str">
            <v>HPE OfficeConnect Switch 1920S              HP 1910-24-PoE+</v>
          </cell>
          <cell r="C87" t="str">
            <v>10.7.226.8   10.7.226.9</v>
          </cell>
          <cell r="D87">
            <v>2</v>
          </cell>
        </row>
        <row r="88">
          <cell r="A88">
            <v>627</v>
          </cell>
          <cell r="B88" t="str">
            <v xml:space="preserve">HPE OfficeConnect Switch 1920S     HPE OfficeConnect Switch 1920S  </v>
          </cell>
          <cell r="C88" t="str">
            <v>10.3.71.8     10.3.71.9</v>
          </cell>
          <cell r="D88">
            <v>2</v>
          </cell>
        </row>
        <row r="89">
          <cell r="A89">
            <v>629</v>
          </cell>
          <cell r="B89" t="str">
            <v>HPE OfficeConnect Switch 1920S     HPE OfficeConnect Switch 1920S</v>
          </cell>
          <cell r="C89" t="str">
            <v>129.85.0.7     129.85.0.9</v>
          </cell>
          <cell r="D89">
            <v>2</v>
          </cell>
        </row>
        <row r="90">
          <cell r="A90">
            <v>631</v>
          </cell>
          <cell r="B90" t="str">
            <v>HPE OfficeConnect Switch 1920S     HPE OfficeConnect Switch 1920S</v>
          </cell>
          <cell r="C90" t="str">
            <v>10.7.231.9     10.7.231.8</v>
          </cell>
          <cell r="D90">
            <v>2</v>
          </cell>
        </row>
        <row r="91">
          <cell r="A91">
            <v>632</v>
          </cell>
          <cell r="B91" t="str">
            <v>TP-Link-2428+POE                                          HPE OfficeConnect Switch 1920S</v>
          </cell>
          <cell r="C91" t="str">
            <v>129.62.0.8     129.62.0.9</v>
          </cell>
          <cell r="D91">
            <v>2</v>
          </cell>
        </row>
        <row r="92">
          <cell r="A92">
            <v>633</v>
          </cell>
          <cell r="B92" t="str">
            <v xml:space="preserve">HPE OfficeConnect Switch 1920S       HPE OfficeConnect Switch 1920S     </v>
          </cell>
          <cell r="C92" t="str">
            <v>129.109.0.8     129.109.0.9</v>
          </cell>
          <cell r="D92">
            <v>2</v>
          </cell>
        </row>
        <row r="93">
          <cell r="A93">
            <v>635</v>
          </cell>
          <cell r="B93" t="str">
            <v>HPE OfficeConnect Switch 1920S    HPE OfficeConnect Switch 1920S                        HP 1910-24-PoE+</v>
          </cell>
          <cell r="C93" t="str">
            <v>10.3.74.8     10.3.74.9     10.3.74.7</v>
          </cell>
          <cell r="D93">
            <v>3</v>
          </cell>
        </row>
        <row r="94">
          <cell r="A94">
            <v>636</v>
          </cell>
          <cell r="B94" t="str">
            <v>HPE OfficeConnect Switch 1920S                         HPE OfficeConnect Switch 1920S</v>
          </cell>
          <cell r="C94" t="str">
            <v>129.67.0.8     129.67.0.9</v>
          </cell>
          <cell r="D94">
            <v>2</v>
          </cell>
        </row>
        <row r="95">
          <cell r="A95">
            <v>639</v>
          </cell>
          <cell r="B95" t="str">
            <v>HPE OfficeConnect Switch 1920S    HPE OfficeConnect Switch 1920S</v>
          </cell>
          <cell r="C95" t="str">
            <v>10.7.239.8     10.7.239.9</v>
          </cell>
          <cell r="D95">
            <v>2</v>
          </cell>
        </row>
        <row r="96">
          <cell r="A96">
            <v>640</v>
          </cell>
          <cell r="B96" t="str">
            <v>Cisco                                                      Cisco</v>
          </cell>
          <cell r="C96" t="str">
            <v>129.118.0.8     129.118.0.9</v>
          </cell>
          <cell r="D96">
            <v>2</v>
          </cell>
        </row>
        <row r="97">
          <cell r="A97">
            <v>641</v>
          </cell>
          <cell r="B97" t="str">
            <v>HPE OfficeConnect Switch 1920S          HPE OfficeConnect Switch 1920S</v>
          </cell>
          <cell r="C97" t="str">
            <v>129.121.0.8     129.121.0.9</v>
          </cell>
          <cell r="D97">
            <v>2</v>
          </cell>
        </row>
        <row r="98">
          <cell r="A98">
            <v>642</v>
          </cell>
          <cell r="B98" t="str">
            <v>HPE OfficeConnect Switch 1920S                                  HPE OfficeConnect Switch 1920S</v>
          </cell>
          <cell r="C98" t="str">
            <v>129.122.0.8     129.122.0.9</v>
          </cell>
          <cell r="D98">
            <v>2</v>
          </cell>
        </row>
        <row r="99">
          <cell r="A99">
            <v>643</v>
          </cell>
          <cell r="B99" t="str">
            <v xml:space="preserve">HPE 1920s-24-POE                                                    HPE 1910-24- PoE +    </v>
          </cell>
          <cell r="C99" t="str">
            <v>10.3.75.8     10.3.75.9</v>
          </cell>
          <cell r="D99">
            <v>2</v>
          </cell>
        </row>
        <row r="100">
          <cell r="A100">
            <v>645</v>
          </cell>
          <cell r="B100" t="str">
            <v>Cisco                                              Cisco</v>
          </cell>
          <cell r="C100" t="str">
            <v>129.149.0.8     129.149.0.9</v>
          </cell>
          <cell r="D100">
            <v>2</v>
          </cell>
        </row>
        <row r="101">
          <cell r="A101">
            <v>646</v>
          </cell>
          <cell r="B101" t="str">
            <v xml:space="preserve">HPE 1910-24- PoE +                       HPE OfficeConnect Switch 1920S                        HPE 1910-24- PoE +  </v>
          </cell>
          <cell r="C101" t="str">
            <v>10.3.77.7     10.3.77.8     10.3.77.9</v>
          </cell>
          <cell r="D101">
            <v>3</v>
          </cell>
        </row>
        <row r="102">
          <cell r="A102">
            <v>647</v>
          </cell>
          <cell r="B102" t="str">
            <v xml:space="preserve">HPE 1910-24- PoE +                    HPE OfficeConnect Switch 1920S   </v>
          </cell>
          <cell r="C102" t="str">
            <v>129.155.0.9   129.155.0.8</v>
          </cell>
          <cell r="D102">
            <v>2</v>
          </cell>
        </row>
        <row r="103">
          <cell r="A103">
            <v>648</v>
          </cell>
          <cell r="B103" t="str">
            <v>HPE OfficeConnect Switch 1920S     HPE OfficeConnect Switch 1920S</v>
          </cell>
          <cell r="C103" t="str">
            <v>129.158.0.8     129.158.0.9</v>
          </cell>
          <cell r="D103">
            <v>2</v>
          </cell>
        </row>
        <row r="104">
          <cell r="A104">
            <v>649</v>
          </cell>
          <cell r="B104" t="str">
            <v xml:space="preserve">TP-Link-2428+POE                        HPE 1910-24- PoE +                   </v>
          </cell>
          <cell r="C104" t="str">
            <v>129.161.0.8     129.161.0.9</v>
          </cell>
          <cell r="D104">
            <v>2</v>
          </cell>
        </row>
        <row r="105">
          <cell r="A105">
            <v>650</v>
          </cell>
          <cell r="B105" t="str">
            <v xml:space="preserve">HPE OfficeConnect Switch 1920S     HPE OfficeConnect Switch 1920S  </v>
          </cell>
          <cell r="C105" t="str">
            <v>10.3.91.8     10.3.91.9</v>
          </cell>
          <cell r="D105">
            <v>2</v>
          </cell>
        </row>
        <row r="106">
          <cell r="A106">
            <v>651</v>
          </cell>
          <cell r="B106" t="str">
            <v>HPE 1910-24- PoE +                    HPE OfficeConnect Switch 1920S                                HPE OfficeConnect Switch 1920S</v>
          </cell>
          <cell r="C106" t="str">
            <v>129.166.0.7     129.166.0.8     129.166.0.9</v>
          </cell>
          <cell r="D106">
            <v>3</v>
          </cell>
        </row>
        <row r="107">
          <cell r="A107">
            <v>652</v>
          </cell>
          <cell r="B107" t="str">
            <v xml:space="preserve">HPE 1910-24- PoE +                            HPE OfficeConnect Switch 1920S  </v>
          </cell>
          <cell r="C107" t="str">
            <v>10.3.78.8     10.3.78.9</v>
          </cell>
          <cell r="D107">
            <v>2</v>
          </cell>
        </row>
        <row r="108">
          <cell r="A108">
            <v>653</v>
          </cell>
          <cell r="B108" t="str">
            <v xml:space="preserve">HPE OfficeConnect Switch 1920S     HPE OfficeConnect Switch 1920S  </v>
          </cell>
          <cell r="C108" t="str">
            <v>10.3.79.8     10.3.79.9</v>
          </cell>
          <cell r="D108">
            <v>2</v>
          </cell>
        </row>
        <row r="109">
          <cell r="A109">
            <v>654</v>
          </cell>
          <cell r="B109" t="str">
            <v>HPE OfficeConnect Switch 1920S              HPE OfficeConnect Switch 1920S</v>
          </cell>
          <cell r="C109" t="str">
            <v>10.3.80.8     10.3.80.9</v>
          </cell>
          <cell r="D109">
            <v>2</v>
          </cell>
        </row>
        <row r="110">
          <cell r="A110">
            <v>656</v>
          </cell>
          <cell r="B110" t="str">
            <v>HPE OfficeConnect Switch 1920S                                                 HPE 1910-24- PoE +</v>
          </cell>
          <cell r="C110" t="str">
            <v>10.7.156.8     10.7.156.9</v>
          </cell>
          <cell r="D110">
            <v>2</v>
          </cell>
        </row>
        <row r="111">
          <cell r="A111">
            <v>657</v>
          </cell>
          <cell r="B111" t="str">
            <v>HPE 1910-24- PoE +                                        HPE OfficeConnect Switch 1920S</v>
          </cell>
          <cell r="C111" t="str">
            <v>10.3.92.8      10.3.92.9</v>
          </cell>
          <cell r="D111">
            <v>2</v>
          </cell>
        </row>
        <row r="112">
          <cell r="A112">
            <v>659</v>
          </cell>
          <cell r="B112" t="str">
            <v>HPE OfficeConnect Switch 1920S                                 HPE OfficeConnect Switch 1920S</v>
          </cell>
          <cell r="C112" t="str">
            <v>10.3.93.7     10.3.93.9</v>
          </cell>
          <cell r="D112">
            <v>2</v>
          </cell>
        </row>
        <row r="113">
          <cell r="A113">
            <v>660</v>
          </cell>
          <cell r="B113" t="str">
            <v>HPE 1910-24- PoE +                    HPE OfficeConnect Switch 1920S                                     HPE OfficeConnect Switch 1920S</v>
          </cell>
          <cell r="C113" t="str">
            <v>10.8.46.7     10.8.46.8     10.8.46.9</v>
          </cell>
          <cell r="D113">
            <v>3</v>
          </cell>
        </row>
        <row r="114">
          <cell r="A114">
            <v>661</v>
          </cell>
          <cell r="B114" t="str">
            <v>HPE OfficeConnect Switch 1920S            HPE OfficeConnect Switch 1920S</v>
          </cell>
          <cell r="C114" t="str">
            <v>10.3.90.8     10.3.90.9</v>
          </cell>
          <cell r="D114">
            <v>2</v>
          </cell>
        </row>
        <row r="115">
          <cell r="A115">
            <v>662</v>
          </cell>
          <cell r="B115" t="str">
            <v>Cisco                                                      Cisco</v>
          </cell>
          <cell r="C115" t="str">
            <v>10.7.85.8     10.7.85.9</v>
          </cell>
          <cell r="D115">
            <v>2</v>
          </cell>
        </row>
        <row r="116">
          <cell r="A116">
            <v>663</v>
          </cell>
          <cell r="B116" t="str">
            <v>HPE OfficeConnect Switch 1920S         hpe 1910</v>
          </cell>
          <cell r="C116" t="str">
            <v>10.3.81.8     10.3.81.9</v>
          </cell>
          <cell r="D116">
            <v>2</v>
          </cell>
        </row>
        <row r="117">
          <cell r="A117">
            <v>664</v>
          </cell>
          <cell r="B117" t="str">
            <v>HPE OfficeConnect Switch 1920S     HPE OfficeConnect Switch 1920S</v>
          </cell>
          <cell r="C117" t="str">
            <v>129.220.0.8     129.220.0.9</v>
          </cell>
          <cell r="D117">
            <v>2</v>
          </cell>
        </row>
        <row r="118">
          <cell r="A118">
            <v>665</v>
          </cell>
          <cell r="B118" t="str">
            <v xml:space="preserve">HPE OfficeConnect Switch 1920S                     HPE 1910-24- PoE +                                    HPE 1910-24- PoE + </v>
          </cell>
          <cell r="C118" t="str">
            <v>129.221.0.7     129.221.0.8     129.221.0.9</v>
          </cell>
          <cell r="D118">
            <v>3</v>
          </cell>
        </row>
        <row r="119">
          <cell r="A119">
            <v>667</v>
          </cell>
          <cell r="B119" t="str">
            <v xml:space="preserve">HPE OfficeConnect Switch 1920S     HPE OfficeConnect Switch 1920S      </v>
          </cell>
          <cell r="C119" t="str">
            <v>10.3.82.8     10.3.82.9</v>
          </cell>
          <cell r="D119">
            <v>2</v>
          </cell>
        </row>
        <row r="120">
          <cell r="A120">
            <v>671</v>
          </cell>
          <cell r="B120" t="str">
            <v>HPE OfficeConnect Switch 1920S     HPE OfficeConnect Switch 1920S</v>
          </cell>
          <cell r="C120" t="str">
            <v>129.238.0.8     129.238.0.9</v>
          </cell>
          <cell r="D120">
            <v>2</v>
          </cell>
        </row>
        <row r="121">
          <cell r="A121">
            <v>672</v>
          </cell>
          <cell r="B121" t="str">
            <v>HPE OfficeConnect Switch 1920S       HPE 1910-24- PoE +</v>
          </cell>
          <cell r="C121" t="str">
            <v>129.239.0.8     129.239.0.9</v>
          </cell>
          <cell r="D121">
            <v>2</v>
          </cell>
        </row>
        <row r="122">
          <cell r="A122">
            <v>674</v>
          </cell>
          <cell r="B122" t="str">
            <v>HPE OfficeConnect Switch 1920S        HPE OfficeConnect Switch 1920S</v>
          </cell>
          <cell r="C122" t="str">
            <v>10.8.174.8     10.8.174.9</v>
          </cell>
          <cell r="D122">
            <v>2</v>
          </cell>
        </row>
        <row r="123">
          <cell r="A123">
            <v>675</v>
          </cell>
          <cell r="B123" t="str">
            <v>HPE OfficeConnect Switch 1920S     HPE OfficeConnect Switch 1920S</v>
          </cell>
          <cell r="C123" t="str">
            <v>10.8.51.8     10.8.51.9</v>
          </cell>
          <cell r="D123">
            <v>2</v>
          </cell>
        </row>
        <row r="124">
          <cell r="A124">
            <v>676</v>
          </cell>
          <cell r="B124" t="str">
            <v>HPE OfficeConnect Switch 1920S                        HPE OfficeConnect Switch 1920S</v>
          </cell>
          <cell r="C124" t="str">
            <v>129.247.0.8     129.247.0.9</v>
          </cell>
          <cell r="D124">
            <v>2</v>
          </cell>
        </row>
        <row r="125">
          <cell r="A125">
            <v>677</v>
          </cell>
          <cell r="B125" t="str">
            <v>HPE OfficeConnect Switch 1920S     HPE OfficeConnect Switch 1920S</v>
          </cell>
          <cell r="C125" t="str">
            <v>10.3.87.8     10.3.87.9</v>
          </cell>
          <cell r="D125">
            <v>2</v>
          </cell>
        </row>
        <row r="126">
          <cell r="A126">
            <v>678</v>
          </cell>
          <cell r="B126" t="str">
            <v xml:space="preserve">HPE OfficeConnect Switch 1920S            HPE 1910-24- PoE +                       </v>
          </cell>
          <cell r="C126" t="str">
            <v>10.8.52.8     10.8.52.9</v>
          </cell>
          <cell r="D126">
            <v>2</v>
          </cell>
        </row>
        <row r="127">
          <cell r="A127">
            <v>679</v>
          </cell>
          <cell r="B127" t="str">
            <v>Cisco                                                      Cisco</v>
          </cell>
          <cell r="C127" t="str">
            <v>10.3.84.8     10.3.84.9</v>
          </cell>
          <cell r="D127">
            <v>2</v>
          </cell>
        </row>
        <row r="128">
          <cell r="A128">
            <v>680</v>
          </cell>
          <cell r="B128" t="str">
            <v xml:space="preserve">TP-Link-2428+POE                         TP-Link-2428+POE             </v>
          </cell>
          <cell r="C128" t="str">
            <v>129.250.0.8     129.250.0.9</v>
          </cell>
          <cell r="D128">
            <v>2</v>
          </cell>
        </row>
        <row r="129">
          <cell r="A129">
            <v>681</v>
          </cell>
          <cell r="B129" t="str">
            <v xml:space="preserve">TP-Link-2428+POE                         TP-Link-2428+POE             </v>
          </cell>
          <cell r="C129" t="str">
            <v>10.6.88.8     10.6.88.9</v>
          </cell>
          <cell r="D129">
            <v>2</v>
          </cell>
        </row>
        <row r="130">
          <cell r="A130">
            <v>682</v>
          </cell>
          <cell r="B130" t="str">
            <v xml:space="preserve">HPE OfficeConnect Switch 1920S                        HPE 1910-24- PoE + </v>
          </cell>
          <cell r="C130" t="str">
            <v>129.252.0.8     129.252.0.9</v>
          </cell>
          <cell r="D130">
            <v>2</v>
          </cell>
        </row>
        <row r="131">
          <cell r="A131">
            <v>684</v>
          </cell>
          <cell r="B131" t="str">
            <v>HPE OfficeConnect Switch 1920S                                   HPE OfficeConnect Switch 1920S</v>
          </cell>
          <cell r="C131" t="str">
            <v>129.59.0.8     129.59.0.9</v>
          </cell>
          <cell r="D131">
            <v>2</v>
          </cell>
        </row>
        <row r="132">
          <cell r="A132">
            <v>685</v>
          </cell>
          <cell r="B132" t="str">
            <v>HPE OfficeConnect Switch 1920S     HPE OfficeConnect Switch 1920S</v>
          </cell>
          <cell r="C132" t="str">
            <v>10.6.97.8     10.6.97.9</v>
          </cell>
          <cell r="D132">
            <v>2</v>
          </cell>
        </row>
        <row r="133">
          <cell r="A133">
            <v>686</v>
          </cell>
          <cell r="B133" t="str">
            <v>HPE 1910-24- PoE +                        HPE OfficeConnect Switch 1920S</v>
          </cell>
          <cell r="C133" t="str">
            <v>10.8.87.8     10.8.87.9</v>
          </cell>
          <cell r="D133">
            <v>2</v>
          </cell>
        </row>
        <row r="134">
          <cell r="A134">
            <v>687</v>
          </cell>
          <cell r="B134" t="str">
            <v>HPE OfficeConnect Switch 1920S        HPE 1910-24- PoE +</v>
          </cell>
          <cell r="C134" t="str">
            <v>10.3.89.8     10.3.89.9</v>
          </cell>
          <cell r="D134">
            <v>2</v>
          </cell>
        </row>
        <row r="135">
          <cell r="A135">
            <v>688</v>
          </cell>
          <cell r="B135" t="str">
            <v xml:space="preserve">HPE OfficeConnect Switch 1920S                     HPE OfficeConnect Switch 1920S </v>
          </cell>
          <cell r="C135" t="str">
            <v>10.6.108.8     10.6.108.9</v>
          </cell>
          <cell r="D135">
            <v>2</v>
          </cell>
        </row>
        <row r="136">
          <cell r="A136">
            <v>689</v>
          </cell>
          <cell r="B136" t="str">
            <v>HPE OfficeConnect Switch 1920S     HPE OfficeConnect Switch 1920S</v>
          </cell>
          <cell r="C136" t="str">
            <v>10.8.189.8 10.8.189.9</v>
          </cell>
          <cell r="D136">
            <v>2</v>
          </cell>
        </row>
        <row r="137">
          <cell r="A137">
            <v>696</v>
          </cell>
          <cell r="B137" t="str">
            <v xml:space="preserve">TP-Link-2428+POE                         TP-Link-2428+POE             </v>
          </cell>
          <cell r="C137" t="str">
            <v>129.83.0.8   129.83.0.9</v>
          </cell>
          <cell r="D137">
            <v>2</v>
          </cell>
        </row>
        <row r="138">
          <cell r="A138">
            <v>698</v>
          </cell>
          <cell r="B138" t="str">
            <v>HPE OfficeConnect Switch 1920S      HPE 1910-24- PoE +</v>
          </cell>
          <cell r="C138" t="str">
            <v>129.181.0.8     129.181.0.9</v>
          </cell>
          <cell r="D138">
            <v>2</v>
          </cell>
        </row>
        <row r="139">
          <cell r="A139">
            <v>699</v>
          </cell>
          <cell r="B139" t="str">
            <v xml:space="preserve">TP-Link-2428+POE                           TP-Link-2428+POE    </v>
          </cell>
          <cell r="C139" t="str">
            <v>129.99.0.8     129.99.0.9</v>
          </cell>
          <cell r="D139">
            <v>2</v>
          </cell>
        </row>
        <row r="140">
          <cell r="A140">
            <v>700</v>
          </cell>
          <cell r="B140" t="str">
            <v>HPE OfficeConnect Switch 1920S      HPE OfficeConnect Switch 1920S</v>
          </cell>
          <cell r="C140" t="str">
            <v>10.7.200.6     10.7.200.9</v>
          </cell>
          <cell r="D140">
            <v>3</v>
          </cell>
        </row>
        <row r="141">
          <cell r="A141">
            <v>709</v>
          </cell>
          <cell r="B141" t="str">
            <v xml:space="preserve">TP-Link-2428+POE                          TP-Link-2428+POE           </v>
          </cell>
          <cell r="C141" t="str">
            <v>10.6.144.8     10.6.144.9</v>
          </cell>
          <cell r="D141">
            <v>2</v>
          </cell>
        </row>
        <row r="142">
          <cell r="A142">
            <v>711</v>
          </cell>
          <cell r="B142" t="str">
            <v>HPE OfficeConnect Switch 1920S     HPE OfficeConnect Switch 1920S</v>
          </cell>
          <cell r="C142" t="str">
            <v>129.79.0.8     129.79.0.9</v>
          </cell>
          <cell r="D142">
            <v>2</v>
          </cell>
        </row>
        <row r="143">
          <cell r="A143">
            <v>712</v>
          </cell>
          <cell r="B143" t="str">
            <v xml:space="preserve">TP-Link-2428+POE                           TP-Link-2428+POE    </v>
          </cell>
          <cell r="C143" t="str">
            <v>10.4.59.8     10.4.59.9</v>
          </cell>
          <cell r="D143">
            <v>2</v>
          </cell>
        </row>
        <row r="144">
          <cell r="A144">
            <v>715</v>
          </cell>
          <cell r="B144" t="str">
            <v xml:space="preserve">TP-Link-2428+POE                           TP-Link-2428+POE    </v>
          </cell>
          <cell r="C144" t="str">
            <v>10.8.60.8     10.8.60.9</v>
          </cell>
          <cell r="D144">
            <v>2</v>
          </cell>
        </row>
        <row r="145">
          <cell r="A145">
            <v>717</v>
          </cell>
          <cell r="B145" t="str">
            <v>HPE 1910-24- PoE +                             HPE OfficeConnect Switch 1920S</v>
          </cell>
          <cell r="C145" t="str">
            <v>129.87.0.8     129.87.0.9</v>
          </cell>
          <cell r="D145">
            <v>2</v>
          </cell>
        </row>
        <row r="146">
          <cell r="A146">
            <v>719</v>
          </cell>
          <cell r="B146" t="str">
            <v>HPE OfficeConnect Switch 1920S          HPE OfficeConnect Switch 1920S</v>
          </cell>
          <cell r="C146" t="str">
            <v>10.6.102.8     10.6.102.9</v>
          </cell>
          <cell r="D146">
            <v>2</v>
          </cell>
        </row>
        <row r="147">
          <cell r="A147">
            <v>723</v>
          </cell>
          <cell r="B147" t="str">
            <v>HPE OfficeConnect Switch 1920S     HPE OfficeConnect Switch 1920S</v>
          </cell>
          <cell r="C147" t="str">
            <v>129.152.0.8     129.152.0.9</v>
          </cell>
          <cell r="D147">
            <v>2</v>
          </cell>
        </row>
        <row r="148">
          <cell r="A148">
            <v>725</v>
          </cell>
          <cell r="B148" t="str">
            <v xml:space="preserve">HPE 1910-24- PoE +                            HPE 1910-24- PoE +             </v>
          </cell>
          <cell r="C148" t="str">
            <v>10.6.105.8     10.6.105.9</v>
          </cell>
          <cell r="D148">
            <v>2</v>
          </cell>
        </row>
        <row r="149">
          <cell r="A149">
            <v>726</v>
          </cell>
          <cell r="B149" t="str">
            <v>HPE OfficeConnect Switch 1920S     HPE OfficeConnect Switch 1920S</v>
          </cell>
          <cell r="C149" t="str">
            <v>129.77.0.7     129.77.0.9</v>
          </cell>
          <cell r="D149">
            <v>2</v>
          </cell>
        </row>
        <row r="150">
          <cell r="A150">
            <v>727</v>
          </cell>
          <cell r="B150" t="str">
            <v>HPE 1910-24- PoE +                      HPE 1910-24- PoE +</v>
          </cell>
          <cell r="C150" t="str">
            <v>10.6.106.8      10.6.106.9</v>
          </cell>
          <cell r="D150">
            <v>2</v>
          </cell>
        </row>
        <row r="151">
          <cell r="A151">
            <v>729</v>
          </cell>
          <cell r="B151" t="str">
            <v>HPE OfficeConnect Switch 1920S     HPE OfficeConnect Switch 1920S</v>
          </cell>
          <cell r="C151" t="str">
            <v>10.7.96.8     10.7.96.9</v>
          </cell>
          <cell r="D151">
            <v>2</v>
          </cell>
        </row>
        <row r="152">
          <cell r="A152">
            <v>730</v>
          </cell>
          <cell r="B152" t="str">
            <v xml:space="preserve">TP-Link-2428+POE                          TP-Link-2428+POE    </v>
          </cell>
          <cell r="C152" t="str">
            <v>10.4.63.8     10.4.63.9</v>
          </cell>
          <cell r="D152">
            <v>2</v>
          </cell>
        </row>
        <row r="153">
          <cell r="A153">
            <v>731</v>
          </cell>
          <cell r="B153" t="str">
            <v>HPE OfficeConnect Switch 1920S              HPE OfficeConnect Switch 1920S</v>
          </cell>
          <cell r="C153" t="str">
            <v>129.89.0.8     129.89.0.9</v>
          </cell>
          <cell r="D153">
            <v>2</v>
          </cell>
        </row>
        <row r="154">
          <cell r="A154">
            <v>732</v>
          </cell>
          <cell r="B154" t="str">
            <v>HPE 1910-24- PoE +                            HPE 1910-24- PoE +</v>
          </cell>
          <cell r="C154" t="str">
            <v>10.6.115.8       10.6.115.9</v>
          </cell>
          <cell r="D154">
            <v>2</v>
          </cell>
        </row>
        <row r="155">
          <cell r="A155">
            <v>733</v>
          </cell>
          <cell r="B155" t="str">
            <v>HPE 1910-24- PoE +                        HPE OfficeConnect Switch 1920S</v>
          </cell>
          <cell r="C155" t="str">
            <v>10.6.112.8     10.6.112.9</v>
          </cell>
          <cell r="D155">
            <v>2</v>
          </cell>
        </row>
        <row r="156">
          <cell r="A156">
            <v>734</v>
          </cell>
          <cell r="B156" t="str">
            <v>HPE 1910-24- PoE +                           HPE OfficeConnect Switch 1920S</v>
          </cell>
          <cell r="C156" t="str">
            <v>129.18.0.8     129.18.0.9</v>
          </cell>
          <cell r="D156">
            <v>2</v>
          </cell>
        </row>
        <row r="157">
          <cell r="A157">
            <v>737</v>
          </cell>
          <cell r="B157" t="str">
            <v>HPE OfficeConnect Switch 1920S HPE OfficeConnect Switch 1920S</v>
          </cell>
          <cell r="C157" t="str">
            <v>129.23.0.8     129.23.0.9</v>
          </cell>
          <cell r="D157">
            <v>2</v>
          </cell>
        </row>
        <row r="158">
          <cell r="A158">
            <v>741</v>
          </cell>
          <cell r="B158" t="str">
            <v>HPE OfficeConnect Switch 1920S      HPE OfficeConnect Switch 1920S</v>
          </cell>
          <cell r="C158" t="str">
            <v>10.3.124.8     10.3.124.9</v>
          </cell>
          <cell r="D158">
            <v>2</v>
          </cell>
        </row>
        <row r="159">
          <cell r="A159">
            <v>742</v>
          </cell>
          <cell r="B159" t="str">
            <v xml:space="preserve">HPE OfficeConnect Switch 1920S      HPE OfficeConnect Switch 1920S </v>
          </cell>
          <cell r="C159" t="str">
            <v>10.3.151.8     10.3.151.9</v>
          </cell>
          <cell r="D159">
            <v>2</v>
          </cell>
        </row>
        <row r="160">
          <cell r="A160">
            <v>744</v>
          </cell>
          <cell r="B160" t="str">
            <v xml:space="preserve">HPE OfficeConnect Switch 1920S          HPE OfficeConnect Switch 1920S  </v>
          </cell>
          <cell r="C160" t="str">
            <v>10.7.97.8     10.7.97.9</v>
          </cell>
          <cell r="D160">
            <v>2</v>
          </cell>
        </row>
        <row r="161">
          <cell r="A161">
            <v>745</v>
          </cell>
          <cell r="B161" t="str">
            <v xml:space="preserve">HPE OfficeConnect Switch 1920S      HPE OfficeConnect Switch 1920S </v>
          </cell>
          <cell r="C161" t="str">
            <v>10.3.125.8     10.3.125.9</v>
          </cell>
          <cell r="D161">
            <v>2</v>
          </cell>
        </row>
        <row r="162">
          <cell r="A162">
            <v>747</v>
          </cell>
          <cell r="B162" t="str">
            <v>HPE 1910-24- PoE +                    HPE OfficeConnect Switch 1920S</v>
          </cell>
          <cell r="C162" t="str">
            <v>10.7.147.8 10.7.147.9</v>
          </cell>
          <cell r="D162">
            <v>2</v>
          </cell>
        </row>
        <row r="163">
          <cell r="A163">
            <v>751</v>
          </cell>
          <cell r="B163" t="str">
            <v>HPE OfficeConnect Switch 1920S                       HPE OfficeConnect Switch 1920S</v>
          </cell>
          <cell r="C163" t="str">
            <v>10.8.71.8     10.8.71.9</v>
          </cell>
          <cell r="D163">
            <v>2</v>
          </cell>
        </row>
        <row r="164">
          <cell r="A164">
            <v>752</v>
          </cell>
          <cell r="B164" t="str">
            <v>HPE OfficeConnect Switch 1920S          HPE OfficeConnect Switch 1920S</v>
          </cell>
          <cell r="C164" t="str">
            <v>10.8.72.8     10.8.72.9</v>
          </cell>
          <cell r="D164">
            <v>2</v>
          </cell>
        </row>
        <row r="165">
          <cell r="A165">
            <v>754</v>
          </cell>
          <cell r="B165" t="str">
            <v xml:space="preserve">HPE OfficeConnect Switch 1920S     HPE OfficeConnect Switch 1920S  </v>
          </cell>
          <cell r="C165" t="str">
            <v>10.6.135.8     10.6.135.9</v>
          </cell>
          <cell r="D165">
            <v>2</v>
          </cell>
        </row>
        <row r="166">
          <cell r="A166">
            <v>756</v>
          </cell>
          <cell r="B166" t="str">
            <v>HPE OfficeConnect Switch 1920               HPE OfficeConnect Switch 1920                    HPE OfficeConnect Switch 1920S</v>
          </cell>
          <cell r="C166" t="str">
            <v>10.3.114.7      10.3.114.8     10.3.114.9</v>
          </cell>
          <cell r="D166">
            <v>3</v>
          </cell>
        </row>
        <row r="167">
          <cell r="A167">
            <v>764</v>
          </cell>
          <cell r="B167" t="str">
            <v xml:space="preserve">HPE OfficeConnect Switch 1920S                                     HPE OfficeConnect Switch 1920S        </v>
          </cell>
          <cell r="C167" t="str">
            <v>10.8.76.8     10.8.76.9</v>
          </cell>
          <cell r="D167">
            <v>2</v>
          </cell>
        </row>
        <row r="168">
          <cell r="A168">
            <v>765</v>
          </cell>
          <cell r="B168" t="str">
            <v xml:space="preserve">HPE OfficeConnect Switch 1920S            HPE OfficeConnect Switch 1920S   </v>
          </cell>
          <cell r="C168" t="str">
            <v>10.6.119.8     10.6.119.9</v>
          </cell>
          <cell r="D168">
            <v>2</v>
          </cell>
        </row>
        <row r="169">
          <cell r="A169">
            <v>768</v>
          </cell>
          <cell r="B169" t="str">
            <v xml:space="preserve">HPE OfficeConnect Switch 1920S                  HPE OfficeConnect Switch 1920S         </v>
          </cell>
          <cell r="C169" t="str">
            <v>10.7.168.8     10.7.168.9</v>
          </cell>
          <cell r="D169">
            <v>2</v>
          </cell>
        </row>
        <row r="170">
          <cell r="A170">
            <v>770</v>
          </cell>
          <cell r="B170" t="str">
            <v xml:space="preserve">HPE 1910-24- PoE +                         HPE OfficeConnect Switch 1920S   </v>
          </cell>
          <cell r="C170" t="str">
            <v>129.37.0.7     129.37.0.8</v>
          </cell>
          <cell r="D170">
            <v>2</v>
          </cell>
        </row>
        <row r="171">
          <cell r="A171">
            <v>771</v>
          </cell>
          <cell r="B171" t="str">
            <v xml:space="preserve">TP-Link-2428+POE                      HPE 1910-24- PoE + </v>
          </cell>
          <cell r="C171" t="str">
            <v>10.6.116.8     10.6.116.9</v>
          </cell>
          <cell r="D171">
            <v>2</v>
          </cell>
        </row>
        <row r="172">
          <cell r="A172">
            <v>774</v>
          </cell>
          <cell r="B172" t="str">
            <v xml:space="preserve">HPE 1910-24- PoE +                      HPE 1910-24- PoE +    </v>
          </cell>
          <cell r="C172" t="str">
            <v>10.6.145.8 10.6.145.9</v>
          </cell>
          <cell r="D172">
            <v>2</v>
          </cell>
        </row>
        <row r="173">
          <cell r="A173">
            <v>778</v>
          </cell>
          <cell r="B173" t="str">
            <v xml:space="preserve">TP-Link-2428+POE                          TP-Link-2428+POE    </v>
          </cell>
          <cell r="C173" t="str">
            <v>10.3.154.8   10.3.154.9</v>
          </cell>
          <cell r="D173">
            <v>2</v>
          </cell>
        </row>
        <row r="174">
          <cell r="A174">
            <v>780</v>
          </cell>
          <cell r="B174" t="str">
            <v>HPE 1910-24- PoE +                           HPE OfficeConnect Switch 1920S</v>
          </cell>
          <cell r="C174" t="str">
            <v>129.115.0.8     129.115.0.9</v>
          </cell>
          <cell r="D174">
            <v>2</v>
          </cell>
        </row>
        <row r="175">
          <cell r="A175">
            <v>783</v>
          </cell>
          <cell r="B175" t="str">
            <v>HPE OfficeConnect Switch 1920S      HPE OfficeConnect Switch 1920S</v>
          </cell>
          <cell r="C175" t="str">
            <v>10.6.136.8     10.6.136.9</v>
          </cell>
          <cell r="D175">
            <v>2</v>
          </cell>
        </row>
        <row r="176">
          <cell r="A176">
            <v>785</v>
          </cell>
          <cell r="B176" t="str">
            <v>HPE OfficeConnect Switch 1920S          HPE OfficeConnect Switch 1920S</v>
          </cell>
          <cell r="C176" t="str">
            <v>10.7.185.8         10.7.185.9</v>
          </cell>
          <cell r="D176">
            <v>2</v>
          </cell>
        </row>
        <row r="177">
          <cell r="A177">
            <v>788</v>
          </cell>
          <cell r="B177" t="str">
            <v>HPE OfficeConnect Switch 1920S                    HPE 1910-24-PoE+</v>
          </cell>
          <cell r="C177" t="str">
            <v>129.61.0.7     129.61.0.8</v>
          </cell>
          <cell r="D177">
            <v>2</v>
          </cell>
        </row>
        <row r="178">
          <cell r="A178">
            <v>794</v>
          </cell>
          <cell r="B178" t="str">
            <v>HPE OfficeConnect Switch 1920S      HPE OfficeConnect Switch 1920S</v>
          </cell>
          <cell r="C178" t="str">
            <v>129.219.0.8     129.219.0.9</v>
          </cell>
          <cell r="D178">
            <v>2</v>
          </cell>
        </row>
        <row r="179">
          <cell r="A179">
            <v>795</v>
          </cell>
          <cell r="B179" t="str">
            <v xml:space="preserve">TP-Link-2428+POE                                   TP-Link-2428+POE </v>
          </cell>
          <cell r="C179" t="str">
            <v>10.9.10.8     10.9.10.9</v>
          </cell>
          <cell r="D179">
            <v>2</v>
          </cell>
        </row>
        <row r="180">
          <cell r="A180">
            <v>796</v>
          </cell>
          <cell r="B180" t="str">
            <v xml:space="preserve">HPE OfficeConnect Switch 1920S                        TP-Link-2428+POE </v>
          </cell>
          <cell r="C180" t="str">
            <v>10.8.82.8     10.8.82.9</v>
          </cell>
          <cell r="D180">
            <v>2</v>
          </cell>
        </row>
        <row r="181">
          <cell r="A181">
            <v>799</v>
          </cell>
          <cell r="B181" t="str">
            <v xml:space="preserve">TP-Link-2428+POE                          TP-Link-2428+POE    </v>
          </cell>
          <cell r="C181" t="str">
            <v>10.8.80.8     10.8.80.9</v>
          </cell>
          <cell r="D181">
            <v>2</v>
          </cell>
        </row>
        <row r="182">
          <cell r="A182">
            <v>844</v>
          </cell>
          <cell r="B182" t="str">
            <v xml:space="preserve">HPE 1910-24-PoE+                               HPE OfficeConnect Switch 1920S  </v>
          </cell>
          <cell r="C182" t="str">
            <v>10.6.130.8     10.6.130.7</v>
          </cell>
          <cell r="D182">
            <v>2</v>
          </cell>
        </row>
        <row r="183">
          <cell r="A183">
            <v>845</v>
          </cell>
          <cell r="B183" t="str">
            <v xml:space="preserve">HPE OfficeConnect Switch 1920S       HPE OfficeConnect Switch 1920S  </v>
          </cell>
          <cell r="C183" t="str">
            <v>129.75.0.8     129.75.0.9</v>
          </cell>
          <cell r="D183">
            <v>2</v>
          </cell>
        </row>
        <row r="184">
          <cell r="A184">
            <v>847</v>
          </cell>
          <cell r="B184" t="str">
            <v>HPE OfficeConnect Switch 1920S           HPE OfficeConnect Switch 1920S</v>
          </cell>
          <cell r="C184" t="str">
            <v>10.6.123.8     10.6.123.9</v>
          </cell>
          <cell r="D184">
            <v>2</v>
          </cell>
        </row>
        <row r="185">
          <cell r="A185">
            <v>848</v>
          </cell>
          <cell r="B185" t="str">
            <v>HPE OfficeConnect Switch 1920S      HPE OfficeConnect Switch 1920S</v>
          </cell>
          <cell r="C185" t="str">
            <v>129.167.0.8     129.167.0.9</v>
          </cell>
          <cell r="D185">
            <v>2</v>
          </cell>
        </row>
        <row r="186">
          <cell r="A186">
            <v>849</v>
          </cell>
          <cell r="B186" t="str">
            <v>HPE 1910-24-PoE+                                    HPE OfficeConnect Switch 1920S</v>
          </cell>
          <cell r="C186" t="str">
            <v>129.163.0.8     129.163.0.9</v>
          </cell>
          <cell r="D186">
            <v>2</v>
          </cell>
        </row>
        <row r="187">
          <cell r="A187">
            <v>851</v>
          </cell>
          <cell r="B187" t="str">
            <v xml:space="preserve"> HPE 1910-24-PoE+                                  HPE OfficeConnect Switch 1920S</v>
          </cell>
          <cell r="C187" t="str">
            <v>10.8.151.8     10.8.151.9</v>
          </cell>
          <cell r="D187">
            <v>2</v>
          </cell>
        </row>
        <row r="188">
          <cell r="A188">
            <v>852</v>
          </cell>
          <cell r="B188" t="str">
            <v xml:space="preserve"> HPE 1910-24-PoE+                                   HPE OfficeConnect Switch 1920S</v>
          </cell>
          <cell r="C188" t="str">
            <v>129.196.0.8     129.196.0.9</v>
          </cell>
          <cell r="D188">
            <v>2</v>
          </cell>
        </row>
        <row r="189">
          <cell r="A189">
            <v>853</v>
          </cell>
          <cell r="B189" t="str">
            <v xml:space="preserve">HPE OfficeConnect Switch 1920S                             HPE 1910-24-PoE+   </v>
          </cell>
          <cell r="C189" t="str">
            <v>129.64.0.8     129.64.0.9</v>
          </cell>
          <cell r="D189">
            <v>2</v>
          </cell>
        </row>
        <row r="190">
          <cell r="A190">
            <v>857</v>
          </cell>
          <cell r="B190" t="str">
            <v xml:space="preserve">HPE 1910-24-PoE+                        HPE OfficeConnect Switch 1920S  </v>
          </cell>
          <cell r="C190" t="str">
            <v>10.6.131.8     10.6.131.9</v>
          </cell>
          <cell r="D190">
            <v>2</v>
          </cell>
        </row>
        <row r="191">
          <cell r="A191">
            <v>858</v>
          </cell>
          <cell r="B191" t="str">
            <v xml:space="preserve">HPE OfficeConnect Switch 1920S                               HPE 1910-24-PoE+      </v>
          </cell>
          <cell r="C191" t="str">
            <v>129.94.0.8     129.94.0.9</v>
          </cell>
          <cell r="D191">
            <v>2</v>
          </cell>
        </row>
        <row r="192">
          <cell r="A192">
            <v>859</v>
          </cell>
          <cell r="B192" t="str">
            <v xml:space="preserve">HPE 1910-24-PoE+                                      HPE OfficeConnect Switch 1920S  </v>
          </cell>
          <cell r="C192" t="str">
            <v>10.8.159.8     10.8.159.9</v>
          </cell>
          <cell r="D192">
            <v>2</v>
          </cell>
        </row>
        <row r="193">
          <cell r="A193">
            <v>864</v>
          </cell>
          <cell r="B193" t="str">
            <v>HPE 1910-24-PoE+                           HPE OfficeConnect Switch 1920S</v>
          </cell>
          <cell r="C193" t="str">
            <v>10.3.137.8     10.3.137.9</v>
          </cell>
          <cell r="D193">
            <v>2</v>
          </cell>
        </row>
        <row r="194">
          <cell r="A194">
            <v>867</v>
          </cell>
          <cell r="B194" t="str">
            <v>HPE OfficeConnect Switch 1910     HPE OfficeConnect Switch 1920S</v>
          </cell>
          <cell r="C194" t="str">
            <v>10.6.18.8     10.6.18.9</v>
          </cell>
          <cell r="D194">
            <v>2</v>
          </cell>
        </row>
        <row r="195">
          <cell r="A195">
            <v>868</v>
          </cell>
          <cell r="B195" t="str">
            <v xml:space="preserve">HPE OfficeConnect Switch 1920S         HPE OfficeConnect Switch 1920S              </v>
          </cell>
          <cell r="C195" t="str">
            <v>129.2.0.8     129.2.0.9</v>
          </cell>
          <cell r="D195">
            <v>2</v>
          </cell>
        </row>
        <row r="196">
          <cell r="A196">
            <v>876</v>
          </cell>
          <cell r="B196" t="str">
            <v xml:space="preserve">HPE 1910-24-PoE+                                         HPE 1910-24-PoE+ </v>
          </cell>
          <cell r="C196" t="str">
            <v>10.3.159.8     10.3.159.9</v>
          </cell>
          <cell r="D196">
            <v>2</v>
          </cell>
        </row>
        <row r="197">
          <cell r="A197">
            <v>877</v>
          </cell>
          <cell r="B197" t="str">
            <v>TP-Link-2428+POE                         hp 1920s poe</v>
          </cell>
          <cell r="C197" t="str">
            <v>10.8.84.8     10.8.84.9</v>
          </cell>
          <cell r="D197">
            <v>2</v>
          </cell>
        </row>
        <row r="198">
          <cell r="A198">
            <v>879</v>
          </cell>
          <cell r="B198" t="str">
            <v xml:space="preserve">TP-Link-2428+POE                                       TP-Link-2428+POE </v>
          </cell>
          <cell r="C198" t="str">
            <v>10.8.86.8     10.8.86.9</v>
          </cell>
          <cell r="D198">
            <v>2</v>
          </cell>
        </row>
        <row r="199">
          <cell r="A199">
            <v>880</v>
          </cell>
          <cell r="B199" t="str">
            <v>HPE OfficeConnect Switch 1920S                 HPE 1910-24-PoE+</v>
          </cell>
          <cell r="C199" t="str">
            <v>10.6.140.8     10.6.140.9</v>
          </cell>
          <cell r="D199">
            <v>2</v>
          </cell>
        </row>
        <row r="200">
          <cell r="A200">
            <v>884</v>
          </cell>
          <cell r="B200" t="str">
            <v xml:space="preserve">HPE 1910-24-PoE+                               HPE OfficeConnect Switch 1920S </v>
          </cell>
          <cell r="C200" t="str">
            <v>10.3.174.8      10.3.174.9</v>
          </cell>
          <cell r="D200">
            <v>2</v>
          </cell>
        </row>
        <row r="201">
          <cell r="A201">
            <v>885</v>
          </cell>
          <cell r="B201" t="str">
            <v>HPE OfficeConnect Switch 1920S                HPE 1910-24-PoE+</v>
          </cell>
          <cell r="C201" t="str">
            <v>10.3.155.8   10.3.155.9</v>
          </cell>
          <cell r="D201">
            <v>2</v>
          </cell>
        </row>
        <row r="202">
          <cell r="A202">
            <v>888</v>
          </cell>
          <cell r="B202" t="str">
            <v xml:space="preserve">HPE 1910-24-PoE+                                      HPE 1910-24-PoE+     </v>
          </cell>
          <cell r="C202" t="str">
            <v>10.3.198.8     10.3.198.9</v>
          </cell>
          <cell r="D202">
            <v>2</v>
          </cell>
        </row>
        <row r="203">
          <cell r="A203">
            <v>889</v>
          </cell>
          <cell r="B203" t="str">
            <v>HPE 1910-24-PoE+                                      HPE 1910-24-PoE+</v>
          </cell>
          <cell r="C203" t="str">
            <v>129.212.0.8     129.212.0.9</v>
          </cell>
          <cell r="D203">
            <v>2</v>
          </cell>
        </row>
        <row r="204">
          <cell r="A204">
            <v>890</v>
          </cell>
          <cell r="B204" t="str">
            <v xml:space="preserve">HPE OfficeConnect Switch 1920S                                HPE 1910-24-PoE+  </v>
          </cell>
          <cell r="C204" t="str">
            <v>10.3.157.9     10.3.157.8</v>
          </cell>
          <cell r="D204">
            <v>2</v>
          </cell>
        </row>
        <row r="205">
          <cell r="A205">
            <v>891</v>
          </cell>
          <cell r="B205" t="str">
            <v>HPE OfficeConnect Switch 1920S      HPE OfficeConnect Switch 1920S</v>
          </cell>
          <cell r="C205" t="str">
            <v>10.3.164.8     10.3.164.9</v>
          </cell>
          <cell r="D205">
            <v>2</v>
          </cell>
        </row>
        <row r="206">
          <cell r="A206">
            <v>893</v>
          </cell>
          <cell r="B206" t="str">
            <v xml:space="preserve"> HPE 1910-24-PoE+                                             HPE 1910-24-PoE+   </v>
          </cell>
          <cell r="C206" t="str">
            <v>10.3.161.8     10.3.161.9</v>
          </cell>
          <cell r="D206">
            <v>2</v>
          </cell>
        </row>
        <row r="207">
          <cell r="A207">
            <v>895</v>
          </cell>
          <cell r="B207" t="str">
            <v xml:space="preserve">HPE OfficeConnect Switch 1920S        HPE OfficeConnect Switch 1920S </v>
          </cell>
          <cell r="C207" t="str">
            <v>10.3.163.8     10.3.163.9</v>
          </cell>
          <cell r="D207">
            <v>2</v>
          </cell>
        </row>
        <row r="208">
          <cell r="A208">
            <v>905</v>
          </cell>
          <cell r="B208" t="str">
            <v>HPE OfficeConnect Switch 1920S          HPE OfficeConnect Switch 1920S</v>
          </cell>
          <cell r="C208" t="str">
            <v>10.3.147.8     10.3.147.9</v>
          </cell>
          <cell r="D208">
            <v>2</v>
          </cell>
        </row>
        <row r="209">
          <cell r="A209">
            <v>908</v>
          </cell>
          <cell r="B209" t="str">
            <v>HPE OfficeConnect Switch 1920S     HPE OfficeConnect Switch 1920S</v>
          </cell>
          <cell r="C209" t="str">
            <v>10.3.169.8     10.3.169.9</v>
          </cell>
          <cell r="D209">
            <v>2</v>
          </cell>
        </row>
        <row r="210">
          <cell r="A210">
            <v>909</v>
          </cell>
          <cell r="B210" t="str">
            <v xml:space="preserve"> HPE 1910-24-PoE+                                         HPE 1910-24-PoE+  </v>
          </cell>
          <cell r="C210" t="str">
            <v>10.3.170.8     10.3.170.9</v>
          </cell>
          <cell r="D210">
            <v>2</v>
          </cell>
        </row>
        <row r="211">
          <cell r="A211">
            <v>912</v>
          </cell>
          <cell r="B211" t="str">
            <v xml:space="preserve">HPE OfficeConnect Switch 1920S     HPE OfficeConnect Switch 1920S     </v>
          </cell>
          <cell r="C211" t="str">
            <v>10.3.181.8     10.3.181.9</v>
          </cell>
          <cell r="D211">
            <v>2</v>
          </cell>
        </row>
        <row r="212">
          <cell r="A212">
            <v>913</v>
          </cell>
          <cell r="B212" t="str">
            <v>HPE OfficeConnect Switch 1920S                                          HPE OfficeConnect Switch 1920S</v>
          </cell>
          <cell r="C212" t="str">
            <v>10.3.175.8     10.3.175.9</v>
          </cell>
          <cell r="D212">
            <v>3</v>
          </cell>
        </row>
        <row r="213">
          <cell r="A213">
            <v>915</v>
          </cell>
          <cell r="B213" t="str">
            <v xml:space="preserve">TP-Link-2428+POE                          TP-Link-2428+POE    </v>
          </cell>
          <cell r="C213" t="str">
            <v>10.3.172.8               10.3.172.9</v>
          </cell>
          <cell r="D213">
            <v>2</v>
          </cell>
        </row>
        <row r="214">
          <cell r="A214">
            <v>916</v>
          </cell>
          <cell r="B214" t="str">
            <v>Cisco                                                                         Cisco</v>
          </cell>
          <cell r="C214" t="str">
            <v>10.8.4.8     10.8.4.9</v>
          </cell>
          <cell r="D214">
            <v>2</v>
          </cell>
        </row>
        <row r="215">
          <cell r="A215">
            <v>919</v>
          </cell>
          <cell r="B215" t="str">
            <v>Cisco                                                                         Cisco</v>
          </cell>
          <cell r="C215" t="str">
            <v>10.8.3.8     10.8.3.9</v>
          </cell>
          <cell r="D215">
            <v>2</v>
          </cell>
        </row>
        <row r="216">
          <cell r="A216">
            <v>921</v>
          </cell>
          <cell r="B216" t="str">
            <v>HPE 1910-24-PoE+                                                HPE OfficeConnect Switch 1920S</v>
          </cell>
          <cell r="C216" t="str">
            <v>10.3.196.9     10.3.196.8</v>
          </cell>
          <cell r="D216">
            <v>2</v>
          </cell>
        </row>
        <row r="217">
          <cell r="A217">
            <v>922</v>
          </cell>
          <cell r="B217" t="str">
            <v>Cisco                                                                         Cisco</v>
          </cell>
          <cell r="C217" t="str">
            <v>10.3.204.8     10.3.204.9</v>
          </cell>
          <cell r="D217">
            <v>2</v>
          </cell>
        </row>
        <row r="218">
          <cell r="A218">
            <v>924</v>
          </cell>
          <cell r="B218" t="str">
            <v>HPE OfficeConnect Switch 1920S     HPE OfficeConnect Switch 1920S</v>
          </cell>
          <cell r="C218" t="str">
            <v>10.5.21.8     10.5.21.9</v>
          </cell>
          <cell r="D218">
            <v>2</v>
          </cell>
        </row>
        <row r="219">
          <cell r="A219">
            <v>925</v>
          </cell>
          <cell r="B219" t="str">
            <v xml:space="preserve">HPE OfficeConnect Switch 1920S        HPE OfficeConnect Switch 1920S    </v>
          </cell>
          <cell r="C219" t="str">
            <v>10.3.195.8     10.3.195.9</v>
          </cell>
          <cell r="D219">
            <v>2</v>
          </cell>
        </row>
        <row r="220">
          <cell r="A220">
            <v>926</v>
          </cell>
          <cell r="B220" t="str">
            <v>Cisco                                                                         Cisco</v>
          </cell>
          <cell r="C220" t="str">
            <v>10.8.36.8     10.8.36.9</v>
          </cell>
          <cell r="D220">
            <v>2</v>
          </cell>
        </row>
        <row r="221">
          <cell r="A221">
            <v>929</v>
          </cell>
          <cell r="B221" t="str">
            <v>HPE 1910-24-PoE+                                      HPE OfficeConnect Switch 1920S</v>
          </cell>
          <cell r="C221" t="str">
            <v>10.3.203.8     10.3.203.9</v>
          </cell>
          <cell r="D221">
            <v>2</v>
          </cell>
        </row>
        <row r="222">
          <cell r="A222">
            <v>930</v>
          </cell>
          <cell r="B222" t="str">
            <v xml:space="preserve">TP-Link-2428+POE                          TP-Link-2428+POE    </v>
          </cell>
          <cell r="C222" t="str">
            <v>10.3.176.8     10.3.176.9</v>
          </cell>
          <cell r="D222">
            <v>2</v>
          </cell>
        </row>
        <row r="223">
          <cell r="A223">
            <v>934</v>
          </cell>
          <cell r="B223" t="str">
            <v>Cisco                                                                         Cisco</v>
          </cell>
          <cell r="C223" t="str">
            <v>10.3.189.8     10.3.189.9</v>
          </cell>
          <cell r="D223">
            <v>2</v>
          </cell>
        </row>
        <row r="224">
          <cell r="A224">
            <v>936</v>
          </cell>
          <cell r="B224" t="str">
            <v>HPE OfficeConnect Switch 1920S     HPE OfficeConnect Switch 1920S</v>
          </cell>
          <cell r="C224" t="str">
            <v>10.5.19.8     10.5.19.9</v>
          </cell>
          <cell r="D224">
            <v>2</v>
          </cell>
        </row>
        <row r="225">
          <cell r="A225">
            <v>938</v>
          </cell>
          <cell r="B225" t="str">
            <v>HPE OfficeConnect Switch 1920S                                   HPE OfficeConnect Switch 1920S</v>
          </cell>
          <cell r="C225" t="str">
            <v>10.3.190.8     10.3.190.9</v>
          </cell>
          <cell r="D225">
            <v>2</v>
          </cell>
        </row>
        <row r="226">
          <cell r="A226">
            <v>939</v>
          </cell>
          <cell r="B226" t="str">
            <v xml:space="preserve">HPE 1910-24-PoE+                                       HPE 1910-24-PoE+    </v>
          </cell>
          <cell r="C226" t="str">
            <v>10.5.22.8     10.5.22.9</v>
          </cell>
          <cell r="D226">
            <v>2</v>
          </cell>
        </row>
        <row r="227">
          <cell r="A227">
            <v>940</v>
          </cell>
          <cell r="B227" t="str">
            <v>HPE OfficeConnect Switch 1920S     HPE 1910-24-PoE+</v>
          </cell>
          <cell r="C227" t="str">
            <v>10.3.185.8     10.3.185.9</v>
          </cell>
          <cell r="D227">
            <v>2</v>
          </cell>
        </row>
        <row r="228">
          <cell r="A228">
            <v>943</v>
          </cell>
          <cell r="B228" t="str">
            <v>HPE OfficeConnect Switch 1920S                                        HPE 1910-24-PoE+</v>
          </cell>
          <cell r="C228" t="str">
            <v>10.3.184.8     10.3.184.9</v>
          </cell>
          <cell r="D228">
            <v>2</v>
          </cell>
        </row>
        <row r="229">
          <cell r="A229">
            <v>944</v>
          </cell>
          <cell r="B229" t="str">
            <v>Cisco                                                      Cisco</v>
          </cell>
          <cell r="C229" t="str">
            <v>10.8.11.8     10.8.11.9</v>
          </cell>
          <cell r="D229">
            <v>2</v>
          </cell>
        </row>
        <row r="230">
          <cell r="A230">
            <v>951</v>
          </cell>
          <cell r="B230" t="str">
            <v>Cisco                                                       Cisco</v>
          </cell>
          <cell r="C230" t="str">
            <v>10.8.56.8     10.8.56.9</v>
          </cell>
          <cell r="D230">
            <v>2</v>
          </cell>
        </row>
        <row r="231">
          <cell r="A231">
            <v>957</v>
          </cell>
          <cell r="B231" t="str">
            <v>Cisco                                                                         Cisco</v>
          </cell>
          <cell r="C231" t="str">
            <v>10.8.35.8     10.8.35.9</v>
          </cell>
          <cell r="D231">
            <v>2</v>
          </cell>
        </row>
        <row r="232">
          <cell r="A232">
            <v>958</v>
          </cell>
          <cell r="B232" t="str">
            <v>Cisco                                                                         Cisco</v>
          </cell>
          <cell r="C232" t="str">
            <v>10.3.86.8     10.3.86.9</v>
          </cell>
          <cell r="D232">
            <v>2</v>
          </cell>
        </row>
        <row r="233">
          <cell r="A233">
            <v>943</v>
          </cell>
          <cell r="B233" t="str">
            <v>HPE OfficeConnect Switch 1920S                                        HPE 1910-24-PoE+</v>
          </cell>
          <cell r="C233" t="str">
            <v>10.3.184.8     10.3.184.9</v>
          </cell>
          <cell r="D233">
            <v>2</v>
          </cell>
        </row>
        <row r="234">
          <cell r="A234">
            <v>944</v>
          </cell>
          <cell r="B234" t="str">
            <v>Cisco                                                      Cisco</v>
          </cell>
          <cell r="C234" t="str">
            <v>10.8.11.8     10.8.11.9</v>
          </cell>
          <cell r="D234">
            <v>2</v>
          </cell>
        </row>
        <row r="235">
          <cell r="A235">
            <v>951</v>
          </cell>
          <cell r="B235" t="str">
            <v>Cisco                                                       Cisco</v>
          </cell>
          <cell r="C235" t="str">
            <v>10.8.56.8     10.8.56.9</v>
          </cell>
          <cell r="D235">
            <v>2</v>
          </cell>
        </row>
        <row r="236">
          <cell r="A236">
            <v>957</v>
          </cell>
          <cell r="B236" t="str">
            <v>Cisco                                                                         Cisco</v>
          </cell>
          <cell r="C236" t="str">
            <v>10.8.35.8     10.8.35.9</v>
          </cell>
          <cell r="D236">
            <v>2</v>
          </cell>
        </row>
        <row r="237">
          <cell r="A237">
            <v>958</v>
          </cell>
          <cell r="B237" t="str">
            <v>Cisco                                                                         Cisco</v>
          </cell>
          <cell r="C237" t="str">
            <v>10.3.86.8     10.3.86.9</v>
          </cell>
          <cell r="D237">
            <v>2</v>
          </cell>
        </row>
      </sheetData>
      <sheetData sheetId="4"/>
      <sheetData sheetId="5"/>
      <sheetData sheetId="6"/>
      <sheetData sheetId="7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1191E1B7-33F5-428E-97D6-E2CF27729F1C}">
    <nsvFilter filterId="{CA6650A6-F6C2-487D-86D7-9209B510762E}" ref="A1:P1" tableId="0">
      <sortRules>
        <sortRule colId="0">
          <sortCondition ref="A1"/>
        </sortRule>
      </sortRules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vivob2b.service-now.com/portalvivoempresas?id=pv_detail&amp;table=sn_install_base_item&amp;view=portal&amp;sys_id=76d9bcd987974218d95a85930cbb35dc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itsbrasil.sz.chat/webchat/v2/?cid=61c0dd992ad99100111fc632&amp;host=https://itsbrasil.sz.c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0256-477B-4FFC-B6C8-CE8A9FA7D228}">
  <dimension ref="A1:O22"/>
  <sheetViews>
    <sheetView showGridLines="0" workbookViewId="0">
      <selection activeCell="A14" sqref="A14"/>
    </sheetView>
  </sheetViews>
  <sheetFormatPr defaultRowHeight="15"/>
  <cols>
    <col min="1" max="1" width="9.5703125" customWidth="1"/>
    <col min="2" max="2" width="14.28515625" customWidth="1"/>
    <col min="3" max="3" width="16.140625" customWidth="1"/>
    <col min="4" max="4" width="16" customWidth="1"/>
    <col min="5" max="5" width="16.140625" customWidth="1"/>
    <col min="6" max="6" width="13.28515625" customWidth="1"/>
    <col min="7" max="7" width="10" customWidth="1"/>
    <col min="8" max="8" width="10.5703125" customWidth="1"/>
    <col min="9" max="9" width="19" customWidth="1"/>
    <col min="10" max="10" width="1.85546875" customWidth="1"/>
    <col min="11" max="11" width="29.42578125" customWidth="1"/>
    <col min="12" max="12" width="17.140625" customWidth="1"/>
    <col min="13" max="13" width="7.5703125" customWidth="1"/>
    <col min="14" max="14" width="13.85546875" customWidth="1"/>
    <col min="15" max="15" width="9.5703125" bestFit="1" customWidth="1"/>
    <col min="16384" max="16384" width="9.140625" bestFit="1" customWidth="1"/>
  </cols>
  <sheetData>
    <row r="1" spans="1:15" ht="20.25" customHeight="1">
      <c r="A1" s="912" t="s">
        <v>0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</row>
    <row r="2" spans="1:15" ht="9.75" customHeight="1">
      <c r="A2" s="892"/>
      <c r="B2" s="892"/>
      <c r="C2" s="892"/>
      <c r="D2" s="895" t="s">
        <v>1</v>
      </c>
      <c r="E2" s="892"/>
      <c r="F2" s="892"/>
      <c r="G2" s="892"/>
      <c r="H2" s="892"/>
      <c r="I2" s="892"/>
      <c r="J2" s="892"/>
      <c r="K2" s="892"/>
      <c r="L2" s="892"/>
      <c r="M2" s="892"/>
    </row>
    <row r="3" spans="1:15" ht="21.75" customHeight="1">
      <c r="A3" s="892"/>
      <c r="B3" s="1120" t="str">
        <f>VLOOKUP($A$7,Info_Loja!$A$2:$L$233,2,FALSE)</f>
        <v>Shopping Piracicaba</v>
      </c>
      <c r="C3" s="1121"/>
      <c r="D3" s="1121"/>
      <c r="E3" s="1124" t="str">
        <f>VLOOKUP($A$7,Info_Loja!$A$2:$L$233,11,FALSE)</f>
        <v>SP</v>
      </c>
      <c r="F3" s="1125"/>
      <c r="G3" s="892"/>
      <c r="H3" s="1110" t="s">
        <v>2</v>
      </c>
      <c r="I3" s="1108" t="str">
        <f>VLOOKUP($A$7,'Detalhes Links Lojas'!$A$2:$AC$216,29,FALSE)</f>
        <v>129.145.0.0/16</v>
      </c>
      <c r="J3" s="898"/>
      <c r="K3" s="1110" t="s">
        <v>3</v>
      </c>
      <c r="L3" s="1108" t="str">
        <f>VLOOKUP($A$7,'Detalhes Links Lojas'!$A$2:$AC$216,28,FALSE)</f>
        <v>10.100.10.69</v>
      </c>
      <c r="M3" s="892"/>
    </row>
    <row r="4" spans="1:15" ht="21.75" customHeight="1">
      <c r="A4" s="892"/>
      <c r="B4" s="1122"/>
      <c r="C4" s="1123"/>
      <c r="D4" s="1123"/>
      <c r="E4" s="1126"/>
      <c r="F4" s="1127"/>
      <c r="G4" s="892"/>
      <c r="H4" s="1111"/>
      <c r="I4" s="1109"/>
      <c r="J4" s="898"/>
      <c r="K4" s="1111"/>
      <c r="L4" s="1109"/>
      <c r="M4" s="892"/>
    </row>
    <row r="5" spans="1:15" ht="9.75" customHeight="1">
      <c r="A5" s="892"/>
      <c r="B5" s="1098"/>
      <c r="C5" s="1098"/>
      <c r="D5" s="1098"/>
      <c r="E5" s="1098"/>
      <c r="F5" s="1098"/>
      <c r="G5" s="892"/>
      <c r="H5" s="891"/>
      <c r="I5" s="891"/>
      <c r="J5" s="892"/>
      <c r="K5" s="892"/>
      <c r="L5" s="892"/>
      <c r="M5" s="892"/>
    </row>
    <row r="6" spans="1:15" ht="20.25" customHeight="1">
      <c r="A6" s="914" t="s">
        <v>4</v>
      </c>
      <c r="B6" s="1100" t="s">
        <v>5</v>
      </c>
      <c r="C6" s="1101"/>
      <c r="D6" s="1101"/>
      <c r="E6" s="1101"/>
      <c r="F6" s="1101"/>
      <c r="G6" s="891"/>
      <c r="H6" s="1100" t="s">
        <v>6</v>
      </c>
      <c r="I6" s="1117"/>
      <c r="J6" s="892"/>
      <c r="K6" s="915" t="s">
        <v>7</v>
      </c>
      <c r="L6" s="924" t="str">
        <f>VLOOKUP($A$7,'Detalhes Links Lojas'!$A$2:$AF$216,32,FALSE)</f>
        <v>FGT40FTK21028599</v>
      </c>
      <c r="M6" s="1098"/>
      <c r="N6" s="1099"/>
      <c r="O6" s="1099"/>
    </row>
    <row r="7" spans="1:15" ht="20.25" customHeight="1">
      <c r="A7" s="1112">
        <v>580</v>
      </c>
      <c r="B7" s="913" t="s">
        <v>8</v>
      </c>
      <c r="C7" s="900" t="s">
        <v>9</v>
      </c>
      <c r="D7" s="900" t="s">
        <v>10</v>
      </c>
      <c r="E7" s="900" t="s">
        <v>11</v>
      </c>
      <c r="F7" s="900" t="s">
        <v>12</v>
      </c>
      <c r="G7" s="892"/>
      <c r="H7" s="921" t="s">
        <v>13</v>
      </c>
      <c r="I7" s="902" t="str">
        <f>VLOOKUP($A$7,'Telefonia Fixa'!$A$2:$C$234,3,FALSE)</f>
        <v>(19) 3412-1700</v>
      </c>
      <c r="J7" s="892"/>
      <c r="K7" s="892"/>
      <c r="L7" s="893"/>
      <c r="M7" s="891"/>
      <c r="N7" s="6"/>
    </row>
    <row r="8" spans="1:15" ht="20.25" customHeight="1">
      <c r="A8" s="1113"/>
      <c r="B8" s="901" t="s">
        <v>14</v>
      </c>
      <c r="C8" s="902" t="str">
        <f>VLOOKUP($A$7,'Detalhes Links Lojas'!$A$2:$AA$216,4,FALSE)</f>
        <v>Claro</v>
      </c>
      <c r="D8" s="902" t="str">
        <f>VLOOKUP($A$7,'Detalhes Links Lojas'!$A$2:$AA$216,12,FALSE)</f>
        <v>Vivo</v>
      </c>
      <c r="E8" s="902" t="str">
        <f>VLOOKUP($A$7,'Detalhes Links Lojas'!$A$2:$AA$216,22,FALSE)</f>
        <v>---</v>
      </c>
      <c r="F8" s="902" t="str">
        <f>VLOOKUP($A$7,'Detalhes Links Lojas'!$A$2:$AA$216,26,FALSE)</f>
        <v>---</v>
      </c>
      <c r="G8" s="892"/>
      <c r="H8" s="921" t="s">
        <v>14</v>
      </c>
      <c r="I8" s="902" t="str">
        <f>VLOOKUP($A$7,'Telefonia Fixa'!$A$2:$F$234,6,TRUE)</f>
        <v>-</v>
      </c>
      <c r="J8" s="892"/>
      <c r="K8" s="1102" t="s">
        <v>15</v>
      </c>
      <c r="L8" s="1105">
        <f>SUM(C14+I9+D20)</f>
        <v>534.26</v>
      </c>
      <c r="M8" s="890"/>
      <c r="N8" s="279"/>
      <c r="O8" s="279"/>
    </row>
    <row r="9" spans="1:15" ht="20.25" customHeight="1">
      <c r="A9" s="1114"/>
      <c r="B9" s="901" t="s">
        <v>16</v>
      </c>
      <c r="C9" s="902" t="str">
        <f>VLOOKUP($A$7,'Detalhes Links Lojas'!$A$2:$AA$216,9,FALSE)</f>
        <v>20Mb</v>
      </c>
      <c r="D9" s="902" t="str">
        <f>VLOOKUP($A$7,'Detalhes Links Lojas'!$A$2:$AA$216,17,FALSE)</f>
        <v>600Mb</v>
      </c>
      <c r="E9" s="902">
        <f>VLOOKUP($A$7,'Detalhes Links Lojas'!$A$2:$AA$216,24,FALSE)</f>
        <v>0</v>
      </c>
      <c r="F9" s="902"/>
      <c r="G9" s="892"/>
      <c r="H9" s="921" t="s">
        <v>17</v>
      </c>
      <c r="I9" s="910">
        <f>VLOOKUP($A$7,'Telefonia Fixa'!$A$2:$F$234,5,FALSE)</f>
        <v>0</v>
      </c>
      <c r="J9" s="892"/>
      <c r="K9" s="1103"/>
      <c r="L9" s="1106"/>
      <c r="M9" s="896"/>
    </row>
    <row r="10" spans="1:15" ht="20.25" customHeight="1">
      <c r="A10" s="1114"/>
      <c r="B10" s="901" t="s">
        <v>18</v>
      </c>
      <c r="C10" s="902" t="str">
        <f>VLOOKUP($A$7,'Detalhes Links Lojas'!$A$2:$AA$216,10,FALSE)</f>
        <v>Dedicado</v>
      </c>
      <c r="D10" s="902" t="str">
        <f>VLOOKUP($A$7,'Detalhes Links Lojas'!$A$2:$AA$216,18,FALSE)</f>
        <v>ADSL</v>
      </c>
      <c r="E10" s="902" t="str">
        <f>VLOOKUP($A$7,'Detalhes Links Lojas'!$A$2:$AA$216,21,FALSE)</f>
        <v>---</v>
      </c>
      <c r="F10" s="902"/>
      <c r="G10" s="892"/>
      <c r="H10" s="1118" t="s">
        <v>19</v>
      </c>
      <c r="I10" s="1119"/>
      <c r="J10" s="892"/>
      <c r="K10" s="1103"/>
      <c r="L10" s="1106"/>
      <c r="M10" s="892"/>
    </row>
    <row r="11" spans="1:15" ht="20.25" customHeight="1">
      <c r="A11" s="1114"/>
      <c r="B11" s="901" t="s">
        <v>20</v>
      </c>
      <c r="C11" s="903" t="str">
        <f>VLOOKUP($A$7,'Detalhes Links Lojas'!$A$2:$AA$216,8,FALSE)</f>
        <v>PAA/IP/03834</v>
      </c>
      <c r="D11" s="903" t="str">
        <f>VLOOKUP($A$7,'Detalhes Links Lojas'!$A$2:$AA$216,16,FALSE)</f>
        <v>PAA-817JDDTYE3-013</v>
      </c>
      <c r="E11" s="902" t="str">
        <f>VLOOKUP($A$7,'Detalhes Links Lojas'!$A$2:$AA$216,23,FALSE)</f>
        <v>---</v>
      </c>
      <c r="F11" s="902"/>
      <c r="G11" s="892"/>
      <c r="H11" s="921"/>
      <c r="I11" s="902"/>
      <c r="J11" s="892"/>
      <c r="K11" s="1103"/>
      <c r="L11" s="1106"/>
      <c r="M11" s="892"/>
    </row>
    <row r="12" spans="1:15" ht="20.25" customHeight="1">
      <c r="A12" s="1114"/>
      <c r="B12" s="901" t="s">
        <v>21</v>
      </c>
      <c r="C12" s="904">
        <f>VLOOKUP($A$7,'Detalhes Links Lojas'!$A$2:$AA$216,7,FALSE)</f>
        <v>47078</v>
      </c>
      <c r="D12" s="904">
        <f>VLOOKUP($A$7,'Detalhes Links Lojas'!$A$2:$AA$216,15,FALSE)</f>
        <v>46674</v>
      </c>
      <c r="E12" s="902"/>
      <c r="F12" s="902"/>
      <c r="G12" s="892"/>
      <c r="H12" s="922" t="s">
        <v>13</v>
      </c>
      <c r="I12" s="919" t="str">
        <f>VLOOKUP($A$7,'Telefonia Ip - Lojas'!$A$2:$H$232,6,FALSE)</f>
        <v>11 2109-3007</v>
      </c>
      <c r="J12" s="892"/>
      <c r="K12" s="1103"/>
      <c r="L12" s="1106"/>
      <c r="M12" s="892"/>
    </row>
    <row r="13" spans="1:15" ht="20.25" customHeight="1">
      <c r="A13" s="1114"/>
      <c r="B13" s="901" t="s">
        <v>17</v>
      </c>
      <c r="C13" s="909">
        <f>VLOOKUP($A$7,'Detalhes Links Lojas'!$A$2:$AA$216,11,FALSE)</f>
        <v>439.27</v>
      </c>
      <c r="D13" s="910">
        <f>VLOOKUP($A$7,'Detalhes Links Lojas'!$A$2:$AA$216,19,FALSE)</f>
        <v>94.99</v>
      </c>
      <c r="E13" s="910">
        <f>VLOOKUP($A$7,'Detalhes Links Lojas'!$A$2:$AA$216,25,FALSE)</f>
        <v>0</v>
      </c>
      <c r="F13" s="910">
        <f>VLOOKUP($A$7,'Detalhes Links Lojas'!$A$2:$AA$216,27,FALSE)</f>
        <v>0</v>
      </c>
      <c r="G13" s="892"/>
      <c r="H13" s="923" t="s">
        <v>22</v>
      </c>
      <c r="I13" s="920">
        <f>VLOOKUP($A$7,'Telefonia Ip - Lojas'!$A$2:$H$232,5,FALSE)</f>
        <v>1</v>
      </c>
      <c r="J13" s="892"/>
      <c r="K13" s="1104"/>
      <c r="L13" s="1107"/>
      <c r="M13" s="892"/>
    </row>
    <row r="14" spans="1:15" ht="20.25" customHeight="1">
      <c r="A14" s="899" t="s">
        <v>23</v>
      </c>
      <c r="B14" s="905" t="s">
        <v>24</v>
      </c>
      <c r="C14" s="1115">
        <f>SUM(C13+D13+E13+F13)</f>
        <v>534.26</v>
      </c>
      <c r="D14" s="1116"/>
      <c r="E14" s="1116"/>
      <c r="F14" s="1116"/>
      <c r="G14" s="892"/>
      <c r="H14" s="891"/>
      <c r="I14" s="891"/>
      <c r="J14" s="892"/>
      <c r="K14" s="892"/>
      <c r="L14" s="892"/>
      <c r="M14" s="892"/>
    </row>
    <row r="15" spans="1:15" ht="15" customHeight="1">
      <c r="A15" s="892"/>
      <c r="B15" s="892"/>
      <c r="C15" s="892"/>
      <c r="D15" s="892"/>
      <c r="E15" s="892"/>
      <c r="F15" s="892"/>
      <c r="G15" s="892"/>
      <c r="H15" s="891"/>
      <c r="I15" s="891"/>
      <c r="J15" s="892"/>
      <c r="K15" s="892"/>
      <c r="L15" s="892"/>
      <c r="M15" s="892"/>
    </row>
    <row r="16" spans="1:15" ht="15" customHeight="1">
      <c r="A16" s="892"/>
      <c r="B16" s="892"/>
      <c r="C16" s="892"/>
      <c r="D16" s="892"/>
      <c r="E16" s="892"/>
      <c r="F16" s="892"/>
      <c r="G16" s="892"/>
      <c r="H16" s="892"/>
      <c r="I16" s="892"/>
      <c r="J16" s="892"/>
      <c r="K16" s="892"/>
      <c r="L16" s="892"/>
      <c r="M16" s="892"/>
    </row>
    <row r="17" spans="1:13" ht="21.75" customHeight="1">
      <c r="A17" s="892"/>
      <c r="B17" s="1" t="s">
        <v>25</v>
      </c>
      <c r="C17" s="1"/>
      <c r="D17" s="1"/>
      <c r="E17" s="891"/>
      <c r="F17" s="1" t="s">
        <v>26</v>
      </c>
      <c r="G17" s="1"/>
      <c r="H17" s="1"/>
      <c r="I17" s="892"/>
      <c r="J17" s="892"/>
      <c r="K17" s="1" t="s">
        <v>27</v>
      </c>
      <c r="L17" s="1"/>
      <c r="M17" s="1"/>
    </row>
    <row r="18" spans="1:13" ht="21.75" customHeight="1">
      <c r="A18" s="892"/>
      <c r="B18" s="906" t="s">
        <v>28</v>
      </c>
      <c r="C18" s="906" t="s">
        <v>14</v>
      </c>
      <c r="D18" s="906" t="s">
        <v>17</v>
      </c>
      <c r="E18" s="891"/>
      <c r="F18" s="908" t="s">
        <v>18</v>
      </c>
      <c r="G18" s="906" t="s">
        <v>29</v>
      </c>
      <c r="H18" s="906" t="s">
        <v>30</v>
      </c>
      <c r="I18" s="892"/>
      <c r="J18" s="892"/>
      <c r="K18" s="908" t="s">
        <v>31</v>
      </c>
      <c r="L18" s="906" t="s">
        <v>2</v>
      </c>
      <c r="M18" s="906" t="s">
        <v>30</v>
      </c>
    </row>
    <row r="19" spans="1:13" ht="75" customHeight="1">
      <c r="A19" s="891"/>
      <c r="B19" s="907" t="str">
        <f>VLOOKUP($A$7,'Telefonia Móvel'!$A$2:$H$236,7,FALSE)</f>
        <v>-</v>
      </c>
      <c r="C19" s="907" t="str">
        <f>VLOOKUP($A$7,'Telefonia Móvel'!$A$4:$H$236,2,FALSE)</f>
        <v>-</v>
      </c>
      <c r="D19" s="911">
        <f>VLOOKUP($A$7,'Telefonia Móvel'!$A$2:$H$236,8,FALSE)</f>
        <v>0</v>
      </c>
      <c r="E19" s="890"/>
      <c r="F19" s="918" t="str">
        <f>VLOOKUP(A7,'[1]Antenas Lojas'!$A$3:$H$235,7,FALSE)</f>
        <v>IAP</v>
      </c>
      <c r="G19" s="917" t="str">
        <f>VLOOKUP(A7,'[1]Antenas Lojas'!$A$3:$H$235,8,FALSE)</f>
        <v>Aruba - 205     Aruba - 205    Aruba - 205     Aruba - 205     Aruba - 205    Aruba - 205</v>
      </c>
      <c r="H19" s="918">
        <f>VLOOKUP(A7,'[1]Antenas Lojas'!$A$3:$H$235,6,FALSE)</f>
        <v>6</v>
      </c>
      <c r="I19" s="894"/>
      <c r="J19" s="892"/>
      <c r="K19" s="917" t="str">
        <f>VLOOKUP(A7,'[1]Switches Lojas'!$A$3:$D$239,2,FALSE)</f>
        <v>HPE OfficeConnect Switch 1920S       HPE OfficeConnect Switch 1920S</v>
      </c>
      <c r="L19" s="917" t="str">
        <f>VLOOKUP(A7,'[1]Switches Lojas'!$A$3:$D$239,3,FALSE)</f>
        <v>129.145.0.8     129.145.0.9</v>
      </c>
      <c r="M19" s="916">
        <f>VLOOKUP(A7,'[1]Switches Lojas'!$A$3:$D$239,4,FALSE)</f>
        <v>2</v>
      </c>
    </row>
    <row r="20" spans="1:13" ht="21.75" customHeight="1">
      <c r="A20" s="891"/>
      <c r="B20" s="902"/>
      <c r="C20" s="902" t="s">
        <v>17</v>
      </c>
      <c r="D20" s="910">
        <f>VLOOKUP(A7,'Telefonia Móvel'!A2:P236,16,FALSE)</f>
        <v>0</v>
      </c>
      <c r="E20" s="891"/>
      <c r="F20" s="897"/>
      <c r="G20" s="892"/>
      <c r="H20" s="891"/>
      <c r="I20" s="894"/>
      <c r="J20" s="892"/>
      <c r="K20" s="892"/>
      <c r="L20" s="892"/>
      <c r="M20" s="892"/>
    </row>
    <row r="21" spans="1:13">
      <c r="A21" s="279"/>
      <c r="B21" s="279"/>
      <c r="C21" s="279"/>
    </row>
    <row r="22" spans="1:13">
      <c r="B22" s="6"/>
      <c r="C22" s="188"/>
    </row>
  </sheetData>
  <mergeCells count="19">
    <mergeCell ref="L3:L4"/>
    <mergeCell ref="K3:K4"/>
    <mergeCell ref="A7:A13"/>
    <mergeCell ref="C14:F14"/>
    <mergeCell ref="H6:I6"/>
    <mergeCell ref="H10:I10"/>
    <mergeCell ref="H3:H4"/>
    <mergeCell ref="I3:I4"/>
    <mergeCell ref="B3:D4"/>
    <mergeCell ref="E3:F4"/>
    <mergeCell ref="K17:M17"/>
    <mergeCell ref="B17:D17"/>
    <mergeCell ref="B5:D5"/>
    <mergeCell ref="E5:F5"/>
    <mergeCell ref="F17:H17"/>
    <mergeCell ref="M6:O6"/>
    <mergeCell ref="B6:F6"/>
    <mergeCell ref="K8:K13"/>
    <mergeCell ref="L8:L13"/>
  </mergeCells>
  <conditionalFormatting sqref="C12:E12">
    <cfRule type="containsText" dxfId="0" priority="1" operator="containsText" text="Vencido">
      <formula>NOT(ISERROR(SEARCH("Vencido",C12)))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D817-339C-4A32-A026-8C6FD6060E2B}">
  <sheetPr filterMode="1"/>
  <dimension ref="A1:M233"/>
  <sheetViews>
    <sheetView workbookViewId="0"/>
  </sheetViews>
  <sheetFormatPr defaultRowHeight="15"/>
  <cols>
    <col min="2" max="2" width="9.140625" bestFit="1" customWidth="1"/>
    <col min="3" max="3" width="13.7109375" bestFit="1" customWidth="1"/>
    <col min="4" max="4" width="9.140625" style="6"/>
    <col min="5" max="5" width="21.85546875" customWidth="1"/>
    <col min="7" max="7" width="21.42578125" customWidth="1"/>
  </cols>
  <sheetData>
    <row r="1" spans="1:12">
      <c r="A1" s="254" t="s">
        <v>32</v>
      </c>
      <c r="B1" s="254" t="s">
        <v>33</v>
      </c>
      <c r="C1" s="254" t="s">
        <v>34</v>
      </c>
      <c r="D1" s="282" t="s">
        <v>35</v>
      </c>
      <c r="E1" s="254" t="s">
        <v>36</v>
      </c>
      <c r="F1" s="254" t="s">
        <v>37</v>
      </c>
      <c r="G1" s="254" t="s">
        <v>38</v>
      </c>
      <c r="H1" s="254" t="s">
        <v>39</v>
      </c>
      <c r="I1" s="254" t="s">
        <v>40</v>
      </c>
      <c r="J1" s="254" t="s">
        <v>41</v>
      </c>
      <c r="K1" s="254" t="s">
        <v>42</v>
      </c>
      <c r="L1" s="254" t="s">
        <v>43</v>
      </c>
    </row>
    <row r="2" spans="1:12" hidden="1">
      <c r="A2" s="252">
        <v>22</v>
      </c>
      <c r="B2" s="252" t="s">
        <v>44</v>
      </c>
      <c r="C2" s="252" t="s">
        <v>45</v>
      </c>
      <c r="D2" s="118" t="s">
        <v>46</v>
      </c>
      <c r="E2" s="252" t="s">
        <v>47</v>
      </c>
      <c r="F2" s="252">
        <v>795</v>
      </c>
      <c r="G2" s="252"/>
      <c r="H2" s="252" t="s">
        <v>48</v>
      </c>
      <c r="I2" s="252" t="s">
        <v>44</v>
      </c>
      <c r="J2" s="252" t="s">
        <v>49</v>
      </c>
      <c r="K2" s="252" t="s">
        <v>50</v>
      </c>
      <c r="L2" s="252" t="s">
        <v>51</v>
      </c>
    </row>
    <row r="3" spans="1:12" hidden="1">
      <c r="A3" s="252">
        <v>43</v>
      </c>
      <c r="B3" s="252" t="s">
        <v>52</v>
      </c>
      <c r="C3" s="252" t="s">
        <v>53</v>
      </c>
      <c r="D3" s="118" t="s">
        <v>46</v>
      </c>
      <c r="E3" s="252" t="s">
        <v>54</v>
      </c>
      <c r="F3" s="252">
        <v>316</v>
      </c>
      <c r="G3" s="252" t="s">
        <v>55</v>
      </c>
      <c r="H3" s="252" t="s">
        <v>56</v>
      </c>
      <c r="I3" s="252" t="s">
        <v>57</v>
      </c>
      <c r="J3" s="252" t="s">
        <v>52</v>
      </c>
      <c r="K3" s="252" t="s">
        <v>58</v>
      </c>
      <c r="L3" s="252" t="s">
        <v>59</v>
      </c>
    </row>
    <row r="4" spans="1:12" hidden="1">
      <c r="A4" s="252">
        <v>80</v>
      </c>
      <c r="B4" s="252" t="s">
        <v>60</v>
      </c>
      <c r="C4" s="252" t="s">
        <v>61</v>
      </c>
      <c r="D4" s="118" t="s">
        <v>46</v>
      </c>
      <c r="E4" s="252" t="s">
        <v>62</v>
      </c>
      <c r="F4" s="252">
        <v>185</v>
      </c>
      <c r="G4" s="252"/>
      <c r="H4" s="252" t="s">
        <v>63</v>
      </c>
      <c r="I4" s="252" t="s">
        <v>57</v>
      </c>
      <c r="J4" s="252" t="s">
        <v>60</v>
      </c>
      <c r="K4" s="252" t="s">
        <v>64</v>
      </c>
      <c r="L4" s="252" t="s">
        <v>65</v>
      </c>
    </row>
    <row r="5" spans="1:12" hidden="1">
      <c r="A5" s="252">
        <v>87</v>
      </c>
      <c r="B5" s="252" t="s">
        <v>66</v>
      </c>
      <c r="C5" s="252" t="s">
        <v>67</v>
      </c>
      <c r="D5" s="118" t="s">
        <v>46</v>
      </c>
      <c r="E5" s="252" t="s">
        <v>68</v>
      </c>
      <c r="F5" s="252">
        <v>1074</v>
      </c>
      <c r="G5" s="252"/>
      <c r="H5" s="252" t="s">
        <v>69</v>
      </c>
      <c r="I5" s="252" t="s">
        <v>57</v>
      </c>
      <c r="J5" s="252" t="s">
        <v>70</v>
      </c>
      <c r="K5" s="252" t="s">
        <v>71</v>
      </c>
      <c r="L5" s="252" t="s">
        <v>65</v>
      </c>
    </row>
    <row r="6" spans="1:12" hidden="1">
      <c r="A6" s="252">
        <v>120</v>
      </c>
      <c r="B6" s="252" t="s">
        <v>72</v>
      </c>
      <c r="C6" s="252" t="s">
        <v>73</v>
      </c>
      <c r="D6" s="118" t="s">
        <v>46</v>
      </c>
      <c r="E6" s="252" t="s">
        <v>74</v>
      </c>
      <c r="F6" s="252">
        <v>523</v>
      </c>
      <c r="G6" s="252"/>
      <c r="H6" s="252" t="s">
        <v>75</v>
      </c>
      <c r="I6" s="252" t="s">
        <v>57</v>
      </c>
      <c r="J6" s="252" t="s">
        <v>76</v>
      </c>
      <c r="K6" s="252" t="s">
        <v>77</v>
      </c>
      <c r="L6" s="252" t="s">
        <v>65</v>
      </c>
    </row>
    <row r="7" spans="1:12" hidden="1">
      <c r="A7" s="252">
        <v>125</v>
      </c>
      <c r="B7" s="252" t="s">
        <v>78</v>
      </c>
      <c r="C7" s="252" t="s">
        <v>79</v>
      </c>
      <c r="D7" s="118" t="s">
        <v>46</v>
      </c>
      <c r="E7" s="252" t="s">
        <v>80</v>
      </c>
      <c r="F7" s="252">
        <v>45</v>
      </c>
      <c r="G7" s="252"/>
      <c r="H7" s="252" t="s">
        <v>81</v>
      </c>
      <c r="I7" s="252" t="s">
        <v>57</v>
      </c>
      <c r="J7" s="252" t="s">
        <v>82</v>
      </c>
      <c r="K7" s="252" t="s">
        <v>83</v>
      </c>
      <c r="L7" s="252" t="s">
        <v>65</v>
      </c>
    </row>
    <row r="8" spans="1:12" hidden="1">
      <c r="A8" s="252">
        <v>130</v>
      </c>
      <c r="B8" s="252" t="s">
        <v>84</v>
      </c>
      <c r="C8" s="252" t="s">
        <v>85</v>
      </c>
      <c r="D8" s="118" t="s">
        <v>46</v>
      </c>
      <c r="E8" s="252" t="s">
        <v>86</v>
      </c>
      <c r="F8" s="252">
        <v>111</v>
      </c>
      <c r="G8" s="252"/>
      <c r="H8" s="252" t="s">
        <v>87</v>
      </c>
      <c r="I8" s="252" t="s">
        <v>57</v>
      </c>
      <c r="J8" s="252" t="s">
        <v>84</v>
      </c>
      <c r="K8" s="252" t="s">
        <v>88</v>
      </c>
      <c r="L8" s="252" t="s">
        <v>51</v>
      </c>
    </row>
    <row r="9" spans="1:12" hidden="1">
      <c r="A9" s="252">
        <v>133</v>
      </c>
      <c r="B9" s="252" t="s">
        <v>89</v>
      </c>
      <c r="C9" s="252" t="s">
        <v>90</v>
      </c>
      <c r="D9" s="118" t="s">
        <v>91</v>
      </c>
      <c r="E9" s="252" t="s">
        <v>92</v>
      </c>
      <c r="F9" s="252">
        <v>2255</v>
      </c>
      <c r="G9" s="252"/>
      <c r="H9" s="252" t="s">
        <v>93</v>
      </c>
      <c r="I9" s="252" t="s">
        <v>94</v>
      </c>
      <c r="J9" s="252" t="s">
        <v>95</v>
      </c>
      <c r="K9" s="252" t="s">
        <v>58</v>
      </c>
      <c r="L9" s="252" t="s">
        <v>59</v>
      </c>
    </row>
    <row r="10" spans="1:12" hidden="1">
      <c r="A10" s="252">
        <v>135</v>
      </c>
      <c r="B10" s="252" t="s">
        <v>96</v>
      </c>
      <c r="C10" s="252" t="s">
        <v>97</v>
      </c>
      <c r="D10" s="118" t="s">
        <v>91</v>
      </c>
      <c r="E10" s="252" t="s">
        <v>98</v>
      </c>
      <c r="F10" s="252">
        <v>234</v>
      </c>
      <c r="G10" s="252"/>
      <c r="H10" s="252" t="s">
        <v>99</v>
      </c>
      <c r="I10" s="252" t="s">
        <v>57</v>
      </c>
      <c r="J10" s="252" t="s">
        <v>100</v>
      </c>
      <c r="K10" s="252" t="s">
        <v>88</v>
      </c>
      <c r="L10" s="252" t="s">
        <v>51</v>
      </c>
    </row>
    <row r="11" spans="1:12" hidden="1">
      <c r="A11" s="252">
        <v>136</v>
      </c>
      <c r="B11" s="252" t="s">
        <v>101</v>
      </c>
      <c r="C11" s="252" t="s">
        <v>102</v>
      </c>
      <c r="D11" s="118" t="s">
        <v>91</v>
      </c>
      <c r="E11" s="252" t="s">
        <v>103</v>
      </c>
      <c r="F11" s="252">
        <v>200</v>
      </c>
      <c r="G11" s="252"/>
      <c r="H11" s="252" t="s">
        <v>104</v>
      </c>
      <c r="I11" s="252" t="s">
        <v>57</v>
      </c>
      <c r="J11" s="252" t="s">
        <v>105</v>
      </c>
      <c r="K11" s="252" t="s">
        <v>58</v>
      </c>
      <c r="L11" s="252" t="s">
        <v>59</v>
      </c>
    </row>
    <row r="12" spans="1:12" hidden="1">
      <c r="A12" s="252">
        <v>140</v>
      </c>
      <c r="B12" s="252" t="s">
        <v>106</v>
      </c>
      <c r="C12" s="252" t="s">
        <v>107</v>
      </c>
      <c r="D12" s="118" t="s">
        <v>91</v>
      </c>
      <c r="E12" s="252" t="s">
        <v>108</v>
      </c>
      <c r="F12" s="252">
        <v>100</v>
      </c>
      <c r="G12" s="252" t="s">
        <v>109</v>
      </c>
      <c r="H12" s="252" t="s">
        <v>110</v>
      </c>
      <c r="I12" s="252" t="s">
        <v>57</v>
      </c>
      <c r="J12" s="252" t="s">
        <v>111</v>
      </c>
      <c r="K12" s="252" t="s">
        <v>112</v>
      </c>
      <c r="L12" s="252" t="s">
        <v>65</v>
      </c>
    </row>
    <row r="13" spans="1:12" hidden="1">
      <c r="A13" s="252">
        <v>142</v>
      </c>
      <c r="B13" s="252" t="s">
        <v>113</v>
      </c>
      <c r="C13" s="252" t="s">
        <v>114</v>
      </c>
      <c r="D13" s="118" t="s">
        <v>91</v>
      </c>
      <c r="E13" s="252" t="s">
        <v>115</v>
      </c>
      <c r="F13" s="252">
        <v>5332</v>
      </c>
      <c r="G13" s="252" t="s">
        <v>116</v>
      </c>
      <c r="H13" s="252" t="s">
        <v>117</v>
      </c>
      <c r="I13" s="252" t="s">
        <v>118</v>
      </c>
      <c r="J13" s="252" t="s">
        <v>119</v>
      </c>
      <c r="K13" s="252" t="s">
        <v>120</v>
      </c>
      <c r="L13" s="252" t="s">
        <v>59</v>
      </c>
    </row>
    <row r="14" spans="1:12" hidden="1">
      <c r="A14" s="252">
        <v>150</v>
      </c>
      <c r="B14" s="252" t="s">
        <v>121</v>
      </c>
      <c r="C14" s="252" t="s">
        <v>122</v>
      </c>
      <c r="D14" s="118" t="s">
        <v>91</v>
      </c>
      <c r="E14" s="252" t="s">
        <v>123</v>
      </c>
      <c r="F14" s="252" t="s">
        <v>124</v>
      </c>
      <c r="G14" s="252" t="s">
        <v>125</v>
      </c>
      <c r="H14" s="252" t="s">
        <v>126</v>
      </c>
      <c r="I14" s="252" t="s">
        <v>127</v>
      </c>
      <c r="J14" s="252" t="s">
        <v>128</v>
      </c>
      <c r="K14" s="252" t="s">
        <v>129</v>
      </c>
      <c r="L14" s="252" t="s">
        <v>130</v>
      </c>
    </row>
    <row r="15" spans="1:12" hidden="1">
      <c r="A15" s="252">
        <v>160</v>
      </c>
      <c r="B15" s="252" t="s">
        <v>131</v>
      </c>
      <c r="C15" s="252" t="s">
        <v>132</v>
      </c>
      <c r="D15" s="118" t="s">
        <v>91</v>
      </c>
      <c r="E15" s="252" t="s">
        <v>133</v>
      </c>
      <c r="F15" s="252">
        <v>1201</v>
      </c>
      <c r="G15" s="252" t="s">
        <v>134</v>
      </c>
      <c r="H15" s="252" t="s">
        <v>135</v>
      </c>
      <c r="I15" s="252" t="s">
        <v>136</v>
      </c>
      <c r="J15" s="252" t="s">
        <v>70</v>
      </c>
      <c r="K15" s="252" t="s">
        <v>71</v>
      </c>
      <c r="L15" s="252" t="s">
        <v>65</v>
      </c>
    </row>
    <row r="16" spans="1:12" hidden="1">
      <c r="A16" s="252">
        <v>165</v>
      </c>
      <c r="B16" s="252" t="s">
        <v>137</v>
      </c>
      <c r="C16" s="252" t="s">
        <v>138</v>
      </c>
      <c r="D16" s="118" t="s">
        <v>91</v>
      </c>
      <c r="E16" s="252" t="s">
        <v>139</v>
      </c>
      <c r="F16" s="252">
        <v>600</v>
      </c>
      <c r="G16" s="252" t="s">
        <v>140</v>
      </c>
      <c r="H16" s="252" t="s">
        <v>141</v>
      </c>
      <c r="I16" s="252" t="s">
        <v>142</v>
      </c>
      <c r="J16" s="252" t="s">
        <v>143</v>
      </c>
      <c r="K16" s="252" t="s">
        <v>58</v>
      </c>
      <c r="L16" s="252" t="s">
        <v>59</v>
      </c>
    </row>
    <row r="17" spans="1:12" hidden="1">
      <c r="A17" s="252">
        <v>176</v>
      </c>
      <c r="B17" s="252" t="s">
        <v>144</v>
      </c>
      <c r="C17" s="252" t="s">
        <v>145</v>
      </c>
      <c r="D17" s="118" t="s">
        <v>91</v>
      </c>
      <c r="E17" s="252" t="s">
        <v>146</v>
      </c>
      <c r="F17" s="252" t="s">
        <v>147</v>
      </c>
      <c r="G17" s="252" t="s">
        <v>148</v>
      </c>
      <c r="H17" s="252" t="s">
        <v>149</v>
      </c>
      <c r="I17" s="252" t="s">
        <v>150</v>
      </c>
      <c r="J17" s="252" t="s">
        <v>151</v>
      </c>
      <c r="K17" s="252" t="s">
        <v>58</v>
      </c>
      <c r="L17" s="252" t="s">
        <v>59</v>
      </c>
    </row>
    <row r="18" spans="1:12" hidden="1">
      <c r="A18" s="252">
        <v>178</v>
      </c>
      <c r="B18" s="252" t="s">
        <v>152</v>
      </c>
      <c r="C18" s="252" t="s">
        <v>153</v>
      </c>
      <c r="D18" s="118" t="s">
        <v>91</v>
      </c>
      <c r="E18" s="252" t="s">
        <v>154</v>
      </c>
      <c r="F18" s="252">
        <v>1</v>
      </c>
      <c r="G18" s="252" t="s">
        <v>155</v>
      </c>
      <c r="H18" s="252" t="s">
        <v>156</v>
      </c>
      <c r="I18" s="252" t="s">
        <v>157</v>
      </c>
      <c r="J18" s="252" t="s">
        <v>158</v>
      </c>
      <c r="K18" s="252" t="s">
        <v>159</v>
      </c>
      <c r="L18" s="252" t="s">
        <v>130</v>
      </c>
    </row>
    <row r="19" spans="1:12" hidden="1">
      <c r="A19" s="252">
        <v>180</v>
      </c>
      <c r="B19" s="252" t="s">
        <v>160</v>
      </c>
      <c r="C19" s="252" t="s">
        <v>161</v>
      </c>
      <c r="D19" s="118" t="s">
        <v>91</v>
      </c>
      <c r="E19" s="252" t="s">
        <v>162</v>
      </c>
      <c r="F19" s="252">
        <v>1511</v>
      </c>
      <c r="G19" s="252" t="s">
        <v>163</v>
      </c>
      <c r="H19" s="252" t="s">
        <v>164</v>
      </c>
      <c r="I19" s="252" t="s">
        <v>165</v>
      </c>
      <c r="J19" s="252" t="s">
        <v>166</v>
      </c>
      <c r="K19" s="252" t="s">
        <v>58</v>
      </c>
      <c r="L19" s="252" t="s">
        <v>59</v>
      </c>
    </row>
    <row r="20" spans="1:12" hidden="1">
      <c r="A20" s="252">
        <v>196</v>
      </c>
      <c r="B20" s="252" t="s">
        <v>167</v>
      </c>
      <c r="C20" s="252" t="s">
        <v>168</v>
      </c>
      <c r="D20" s="118" t="s">
        <v>91</v>
      </c>
      <c r="E20" s="252" t="s">
        <v>169</v>
      </c>
      <c r="F20" s="252">
        <v>805</v>
      </c>
      <c r="G20" s="252" t="s">
        <v>170</v>
      </c>
      <c r="H20" s="252" t="s">
        <v>171</v>
      </c>
      <c r="I20" s="252" t="s">
        <v>172</v>
      </c>
      <c r="J20" s="252" t="s">
        <v>173</v>
      </c>
      <c r="K20" s="252" t="s">
        <v>64</v>
      </c>
      <c r="L20" s="252" t="s">
        <v>65</v>
      </c>
    </row>
    <row r="21" spans="1:12" hidden="1">
      <c r="A21" s="252">
        <v>508</v>
      </c>
      <c r="B21" s="252" t="s">
        <v>174</v>
      </c>
      <c r="C21" s="252" t="s">
        <v>175</v>
      </c>
      <c r="D21" s="118" t="s">
        <v>91</v>
      </c>
      <c r="E21" s="252" t="s">
        <v>176</v>
      </c>
      <c r="F21" s="252">
        <v>2</v>
      </c>
      <c r="G21" s="252" t="s">
        <v>177</v>
      </c>
      <c r="H21" s="252" t="s">
        <v>178</v>
      </c>
      <c r="I21" s="252" t="s">
        <v>57</v>
      </c>
      <c r="J21" s="252" t="s">
        <v>128</v>
      </c>
      <c r="K21" s="252" t="s">
        <v>129</v>
      </c>
      <c r="L21" s="252" t="s">
        <v>130</v>
      </c>
    </row>
    <row r="22" spans="1:12" hidden="1">
      <c r="A22" s="252">
        <v>510</v>
      </c>
      <c r="B22" s="252" t="s">
        <v>179</v>
      </c>
      <c r="C22" s="252" t="s">
        <v>180</v>
      </c>
      <c r="D22" s="118" t="s">
        <v>91</v>
      </c>
      <c r="E22" s="252" t="s">
        <v>181</v>
      </c>
      <c r="F22" s="252">
        <v>5555</v>
      </c>
      <c r="G22" s="252" t="s">
        <v>182</v>
      </c>
      <c r="H22" s="252" t="s">
        <v>183</v>
      </c>
      <c r="I22" s="252" t="s">
        <v>184</v>
      </c>
      <c r="J22" s="252" t="s">
        <v>95</v>
      </c>
      <c r="K22" s="252" t="s">
        <v>58</v>
      </c>
      <c r="L22" s="252" t="s">
        <v>59</v>
      </c>
    </row>
    <row r="23" spans="1:12" hidden="1">
      <c r="A23" s="252">
        <v>512</v>
      </c>
      <c r="B23" s="252" t="s">
        <v>185</v>
      </c>
      <c r="C23" s="252" t="s">
        <v>186</v>
      </c>
      <c r="D23" s="118" t="s">
        <v>46</v>
      </c>
      <c r="E23" s="252" t="s">
        <v>187</v>
      </c>
      <c r="F23" s="252">
        <v>265</v>
      </c>
      <c r="G23" s="252"/>
      <c r="H23" s="252" t="s">
        <v>188</v>
      </c>
      <c r="I23" s="252" t="s">
        <v>57</v>
      </c>
      <c r="J23" s="252" t="s">
        <v>185</v>
      </c>
      <c r="K23" s="252" t="s">
        <v>189</v>
      </c>
      <c r="L23" s="252" t="s">
        <v>130</v>
      </c>
    </row>
    <row r="24" spans="1:12" hidden="1">
      <c r="A24" s="252">
        <v>514</v>
      </c>
      <c r="B24" s="252" t="s">
        <v>190</v>
      </c>
      <c r="C24" s="252" t="s">
        <v>191</v>
      </c>
      <c r="D24" s="118" t="s">
        <v>46</v>
      </c>
      <c r="E24" s="252" t="s">
        <v>192</v>
      </c>
      <c r="F24" s="252">
        <v>1280</v>
      </c>
      <c r="G24" s="252"/>
      <c r="H24" s="252" t="s">
        <v>193</v>
      </c>
      <c r="I24" s="252" t="s">
        <v>57</v>
      </c>
      <c r="J24" s="252" t="s">
        <v>190</v>
      </c>
      <c r="K24" s="252" t="s">
        <v>194</v>
      </c>
      <c r="L24" s="252" t="s">
        <v>195</v>
      </c>
    </row>
    <row r="25" spans="1:12" hidden="1">
      <c r="A25" s="252">
        <v>515</v>
      </c>
      <c r="B25" s="252" t="s">
        <v>196</v>
      </c>
      <c r="C25" s="252" t="s">
        <v>197</v>
      </c>
      <c r="D25" s="118" t="s">
        <v>46</v>
      </c>
      <c r="E25" s="252" t="s">
        <v>198</v>
      </c>
      <c r="F25" s="252">
        <v>62</v>
      </c>
      <c r="G25" s="252"/>
      <c r="H25" s="252" t="s">
        <v>199</v>
      </c>
      <c r="I25" s="252" t="s">
        <v>196</v>
      </c>
      <c r="J25" s="252" t="s">
        <v>95</v>
      </c>
      <c r="K25" s="252" t="s">
        <v>58</v>
      </c>
      <c r="L25" s="252" t="s">
        <v>59</v>
      </c>
    </row>
    <row r="26" spans="1:12" hidden="1">
      <c r="A26" s="252">
        <v>517</v>
      </c>
      <c r="B26" s="252" t="s">
        <v>200</v>
      </c>
      <c r="C26" s="252" t="s">
        <v>201</v>
      </c>
      <c r="D26" s="118" t="s">
        <v>46</v>
      </c>
      <c r="E26" s="252" t="s">
        <v>202</v>
      </c>
      <c r="F26" s="252">
        <v>258</v>
      </c>
      <c r="G26" s="252"/>
      <c r="H26" s="252" t="s">
        <v>203</v>
      </c>
      <c r="I26" s="252" t="s">
        <v>57</v>
      </c>
      <c r="J26" s="252" t="s">
        <v>200</v>
      </c>
      <c r="K26" s="252" t="s">
        <v>204</v>
      </c>
      <c r="L26" s="252" t="s">
        <v>195</v>
      </c>
    </row>
    <row r="27" spans="1:12" hidden="1">
      <c r="A27" s="252">
        <v>518</v>
      </c>
      <c r="B27" s="252" t="s">
        <v>205</v>
      </c>
      <c r="C27" s="252" t="s">
        <v>206</v>
      </c>
      <c r="D27" s="118" t="s">
        <v>46</v>
      </c>
      <c r="E27" s="252" t="s">
        <v>207</v>
      </c>
      <c r="F27" s="252">
        <v>99</v>
      </c>
      <c r="G27" s="252" t="s">
        <v>208</v>
      </c>
      <c r="H27" s="252" t="s">
        <v>209</v>
      </c>
      <c r="I27" s="252" t="s">
        <v>57</v>
      </c>
      <c r="J27" s="252" t="s">
        <v>205</v>
      </c>
      <c r="K27" s="252" t="s">
        <v>58</v>
      </c>
      <c r="L27" s="252" t="s">
        <v>59</v>
      </c>
    </row>
    <row r="28" spans="1:12" hidden="1">
      <c r="A28" s="252">
        <v>519</v>
      </c>
      <c r="B28" s="252" t="s">
        <v>210</v>
      </c>
      <c r="C28" s="252" t="s">
        <v>211</v>
      </c>
      <c r="D28" s="118" t="s">
        <v>46</v>
      </c>
      <c r="E28" s="252" t="s">
        <v>212</v>
      </c>
      <c r="F28" s="252">
        <v>941</v>
      </c>
      <c r="G28" s="252" t="s">
        <v>213</v>
      </c>
      <c r="H28" s="252" t="s">
        <v>214</v>
      </c>
      <c r="I28" s="252" t="s">
        <v>57</v>
      </c>
      <c r="J28" s="252" t="s">
        <v>210</v>
      </c>
      <c r="K28" s="252" t="s">
        <v>215</v>
      </c>
      <c r="L28" s="252" t="s">
        <v>195</v>
      </c>
    </row>
    <row r="29" spans="1:12" hidden="1">
      <c r="A29" s="252">
        <v>520</v>
      </c>
      <c r="B29" s="252" t="s">
        <v>216</v>
      </c>
      <c r="C29" s="252" t="s">
        <v>217</v>
      </c>
      <c r="D29" s="118" t="s">
        <v>91</v>
      </c>
      <c r="E29" s="252" t="s">
        <v>218</v>
      </c>
      <c r="F29" s="252">
        <v>3000</v>
      </c>
      <c r="G29" s="252" t="s">
        <v>219</v>
      </c>
      <c r="H29" s="252" t="s">
        <v>220</v>
      </c>
      <c r="I29" s="252" t="s">
        <v>57</v>
      </c>
      <c r="J29" s="252" t="s">
        <v>221</v>
      </c>
      <c r="K29" s="252" t="s">
        <v>58</v>
      </c>
      <c r="L29" s="252" t="s">
        <v>59</v>
      </c>
    </row>
    <row r="30" spans="1:12" hidden="1">
      <c r="A30" s="252">
        <v>525</v>
      </c>
      <c r="B30" s="252" t="s">
        <v>222</v>
      </c>
      <c r="C30" s="252" t="s">
        <v>223</v>
      </c>
      <c r="D30" s="118" t="s">
        <v>91</v>
      </c>
      <c r="E30" s="252" t="s">
        <v>224</v>
      </c>
      <c r="F30" s="252">
        <v>0</v>
      </c>
      <c r="G30" s="252" t="s">
        <v>225</v>
      </c>
      <c r="H30" s="252" t="s">
        <v>226</v>
      </c>
      <c r="I30" s="252" t="s">
        <v>227</v>
      </c>
      <c r="J30" s="252" t="s">
        <v>82</v>
      </c>
      <c r="K30" s="252" t="s">
        <v>83</v>
      </c>
      <c r="L30" s="252" t="s">
        <v>65</v>
      </c>
    </row>
    <row r="31" spans="1:12" hidden="1">
      <c r="A31" s="252">
        <v>526</v>
      </c>
      <c r="B31" s="252" t="s">
        <v>228</v>
      </c>
      <c r="C31" s="252" t="s">
        <v>229</v>
      </c>
      <c r="D31" s="118" t="s">
        <v>91</v>
      </c>
      <c r="E31" s="252" t="s">
        <v>230</v>
      </c>
      <c r="F31" s="252">
        <v>6750</v>
      </c>
      <c r="G31" s="252"/>
      <c r="H31" s="252" t="s">
        <v>231</v>
      </c>
      <c r="I31" s="252" t="s">
        <v>57</v>
      </c>
      <c r="J31" s="252" t="s">
        <v>232</v>
      </c>
      <c r="K31" s="252" t="s">
        <v>50</v>
      </c>
      <c r="L31" s="252" t="s">
        <v>51</v>
      </c>
    </row>
    <row r="32" spans="1:12" hidden="1">
      <c r="A32" s="252">
        <v>527</v>
      </c>
      <c r="B32" s="252" t="s">
        <v>233</v>
      </c>
      <c r="C32" s="252" t="s">
        <v>234</v>
      </c>
      <c r="D32" s="118" t="s">
        <v>91</v>
      </c>
      <c r="E32" s="252" t="s">
        <v>235</v>
      </c>
      <c r="F32" s="252">
        <v>2450</v>
      </c>
      <c r="G32" s="252" t="s">
        <v>236</v>
      </c>
      <c r="H32" s="252" t="s">
        <v>237</v>
      </c>
      <c r="I32" s="252" t="s">
        <v>57</v>
      </c>
      <c r="J32" s="252" t="s">
        <v>238</v>
      </c>
      <c r="K32" s="252" t="s">
        <v>239</v>
      </c>
      <c r="L32" s="252" t="s">
        <v>65</v>
      </c>
    </row>
    <row r="33" spans="1:13" hidden="1">
      <c r="A33" s="252">
        <v>529</v>
      </c>
      <c r="B33" s="252" t="s">
        <v>240</v>
      </c>
      <c r="C33" s="252" t="s">
        <v>241</v>
      </c>
      <c r="D33" s="118" t="s">
        <v>46</v>
      </c>
      <c r="E33" s="252" t="s">
        <v>242</v>
      </c>
      <c r="F33" s="252">
        <v>906</v>
      </c>
      <c r="G33" s="252"/>
      <c r="H33" s="252" t="s">
        <v>243</v>
      </c>
      <c r="I33" s="252" t="s">
        <v>57</v>
      </c>
      <c r="J33" s="252" t="s">
        <v>240</v>
      </c>
      <c r="K33" s="252" t="s">
        <v>50</v>
      </c>
      <c r="L33" s="252" t="s">
        <v>51</v>
      </c>
    </row>
    <row r="34" spans="1:13" hidden="1">
      <c r="A34" s="252">
        <v>531</v>
      </c>
      <c r="B34" s="252" t="s">
        <v>244</v>
      </c>
      <c r="C34" s="252" t="s">
        <v>245</v>
      </c>
      <c r="D34" s="118" t="s">
        <v>91</v>
      </c>
      <c r="E34" s="252" t="s">
        <v>246</v>
      </c>
      <c r="F34" s="252">
        <v>640</v>
      </c>
      <c r="G34" s="252" t="s">
        <v>247</v>
      </c>
      <c r="H34" s="252" t="s">
        <v>248</v>
      </c>
      <c r="I34" s="252" t="s">
        <v>249</v>
      </c>
      <c r="J34" s="252" t="s">
        <v>250</v>
      </c>
      <c r="K34" s="252" t="s">
        <v>251</v>
      </c>
      <c r="L34" s="252" t="s">
        <v>59</v>
      </c>
    </row>
    <row r="35" spans="1:13" hidden="1">
      <c r="A35" s="252">
        <v>534</v>
      </c>
      <c r="B35" s="252" t="s">
        <v>252</v>
      </c>
      <c r="C35" s="252" t="s">
        <v>253</v>
      </c>
      <c r="D35" s="118" t="s">
        <v>91</v>
      </c>
      <c r="E35" s="252" t="s">
        <v>254</v>
      </c>
      <c r="F35" s="252">
        <v>6000</v>
      </c>
      <c r="G35" s="252" t="s">
        <v>255</v>
      </c>
      <c r="H35" s="252" t="s">
        <v>256</v>
      </c>
      <c r="I35" s="252" t="s">
        <v>257</v>
      </c>
      <c r="J35" s="252" t="s">
        <v>258</v>
      </c>
      <c r="K35" s="252" t="s">
        <v>58</v>
      </c>
      <c r="L35" s="252" t="s">
        <v>59</v>
      </c>
    </row>
    <row r="36" spans="1:13" hidden="1">
      <c r="A36" s="252">
        <v>535</v>
      </c>
      <c r="B36" s="252" t="s">
        <v>259</v>
      </c>
      <c r="C36" s="252" t="s">
        <v>260</v>
      </c>
      <c r="D36" s="118" t="s">
        <v>46</v>
      </c>
      <c r="E36" s="252" t="s">
        <v>261</v>
      </c>
      <c r="F36" s="252">
        <v>1795</v>
      </c>
      <c r="G36" s="252"/>
      <c r="H36" s="252" t="s">
        <v>262</v>
      </c>
      <c r="I36" s="252" t="s">
        <v>57</v>
      </c>
      <c r="J36" s="252" t="s">
        <v>259</v>
      </c>
      <c r="K36" s="252" t="s">
        <v>263</v>
      </c>
      <c r="L36" s="252" t="s">
        <v>51</v>
      </c>
    </row>
    <row r="37" spans="1:13" hidden="1">
      <c r="A37" s="252">
        <v>536</v>
      </c>
      <c r="B37" s="252" t="s">
        <v>264</v>
      </c>
      <c r="C37" s="252" t="s">
        <v>265</v>
      </c>
      <c r="D37" s="118" t="s">
        <v>46</v>
      </c>
      <c r="E37" s="252" t="s">
        <v>266</v>
      </c>
      <c r="F37" s="252">
        <v>645</v>
      </c>
      <c r="G37" s="252"/>
      <c r="H37" s="252" t="s">
        <v>267</v>
      </c>
      <c r="I37" s="252" t="s">
        <v>57</v>
      </c>
      <c r="J37" s="252" t="s">
        <v>250</v>
      </c>
      <c r="K37" s="252" t="s">
        <v>251</v>
      </c>
      <c r="L37" s="252" t="s">
        <v>59</v>
      </c>
    </row>
    <row r="38" spans="1:13" hidden="1">
      <c r="A38" s="300">
        <v>543</v>
      </c>
      <c r="B38" s="300" t="s">
        <v>94</v>
      </c>
      <c r="C38" s="300" t="s">
        <v>268</v>
      </c>
      <c r="D38" s="301" t="s">
        <v>46</v>
      </c>
      <c r="E38" s="300" t="s">
        <v>269</v>
      </c>
      <c r="F38" s="300">
        <v>146</v>
      </c>
      <c r="G38" s="300"/>
      <c r="H38" s="300" t="s">
        <v>270</v>
      </c>
      <c r="I38" s="300" t="s">
        <v>94</v>
      </c>
      <c r="J38" s="300" t="s">
        <v>119</v>
      </c>
      <c r="K38" s="300" t="s">
        <v>120</v>
      </c>
      <c r="L38" s="300" t="s">
        <v>59</v>
      </c>
      <c r="M38" t="s">
        <v>271</v>
      </c>
    </row>
    <row r="39" spans="1:13" hidden="1">
      <c r="A39" s="252">
        <v>544</v>
      </c>
      <c r="B39" s="252" t="s">
        <v>272</v>
      </c>
      <c r="C39" s="252" t="s">
        <v>273</v>
      </c>
      <c r="D39" s="118" t="s">
        <v>91</v>
      </c>
      <c r="E39" s="252" t="s">
        <v>274</v>
      </c>
      <c r="F39" s="252">
        <v>304</v>
      </c>
      <c r="G39" s="252" t="s">
        <v>275</v>
      </c>
      <c r="H39" s="252" t="s">
        <v>276</v>
      </c>
      <c r="I39" s="252" t="s">
        <v>277</v>
      </c>
      <c r="J39" s="252" t="s">
        <v>95</v>
      </c>
      <c r="K39" s="252" t="s">
        <v>58</v>
      </c>
      <c r="L39" s="252" t="s">
        <v>59</v>
      </c>
    </row>
    <row r="40" spans="1:13" hidden="1">
      <c r="A40" s="252">
        <v>546</v>
      </c>
      <c r="B40" s="252" t="s">
        <v>278</v>
      </c>
      <c r="C40" s="252" t="s">
        <v>279</v>
      </c>
      <c r="D40" s="118" t="s">
        <v>46</v>
      </c>
      <c r="E40" s="252" t="s">
        <v>280</v>
      </c>
      <c r="F40" s="252">
        <v>900</v>
      </c>
      <c r="G40" s="252"/>
      <c r="H40" s="252" t="s">
        <v>281</v>
      </c>
      <c r="I40" s="252" t="s">
        <v>57</v>
      </c>
      <c r="J40" s="252" t="s">
        <v>105</v>
      </c>
      <c r="K40" s="252" t="s">
        <v>58</v>
      </c>
      <c r="L40" s="252" t="s">
        <v>59</v>
      </c>
    </row>
    <row r="41" spans="1:13" hidden="1">
      <c r="A41" s="252">
        <v>547</v>
      </c>
      <c r="B41" s="252" t="s">
        <v>282</v>
      </c>
      <c r="C41" s="252" t="s">
        <v>283</v>
      </c>
      <c r="D41" s="118" t="s">
        <v>46</v>
      </c>
      <c r="E41" s="252" t="s">
        <v>284</v>
      </c>
      <c r="F41" s="252">
        <v>59</v>
      </c>
      <c r="G41" s="252"/>
      <c r="H41" s="252" t="s">
        <v>285</v>
      </c>
      <c r="I41" s="252" t="s">
        <v>57</v>
      </c>
      <c r="J41" s="252" t="s">
        <v>286</v>
      </c>
      <c r="K41" s="252" t="s">
        <v>58</v>
      </c>
      <c r="L41" s="252" t="s">
        <v>59</v>
      </c>
    </row>
    <row r="42" spans="1:13" hidden="1">
      <c r="A42" s="252">
        <v>548</v>
      </c>
      <c r="B42" s="252" t="s">
        <v>287</v>
      </c>
      <c r="C42" s="252" t="s">
        <v>288</v>
      </c>
      <c r="D42" s="118" t="s">
        <v>46</v>
      </c>
      <c r="E42" s="252" t="s">
        <v>289</v>
      </c>
      <c r="F42" s="252">
        <v>225</v>
      </c>
      <c r="G42" s="252" t="s">
        <v>290</v>
      </c>
      <c r="H42" s="252" t="s">
        <v>291</v>
      </c>
      <c r="I42" s="252" t="s">
        <v>57</v>
      </c>
      <c r="J42" s="252" t="s">
        <v>287</v>
      </c>
      <c r="K42" s="252" t="s">
        <v>263</v>
      </c>
      <c r="L42" s="252" t="s">
        <v>51</v>
      </c>
    </row>
    <row r="43" spans="1:13" hidden="1">
      <c r="A43" s="252">
        <v>549</v>
      </c>
      <c r="B43" s="252" t="s">
        <v>292</v>
      </c>
      <c r="C43" s="252" t="s">
        <v>293</v>
      </c>
      <c r="D43" s="118" t="s">
        <v>91</v>
      </c>
      <c r="E43" s="252" t="s">
        <v>207</v>
      </c>
      <c r="F43" s="252">
        <v>1500</v>
      </c>
      <c r="G43" s="252"/>
      <c r="H43" s="252" t="s">
        <v>294</v>
      </c>
      <c r="I43" s="252" t="s">
        <v>295</v>
      </c>
      <c r="J43" s="252" t="s">
        <v>296</v>
      </c>
      <c r="K43" s="252" t="s">
        <v>58</v>
      </c>
      <c r="L43" s="252" t="s">
        <v>59</v>
      </c>
    </row>
    <row r="44" spans="1:13" hidden="1">
      <c r="A44" s="252">
        <v>550</v>
      </c>
      <c r="B44" s="252" t="s">
        <v>151</v>
      </c>
      <c r="C44" s="252" t="s">
        <v>297</v>
      </c>
      <c r="D44" s="118" t="s">
        <v>46</v>
      </c>
      <c r="E44" s="252" t="s">
        <v>298</v>
      </c>
      <c r="F44" s="252">
        <v>27</v>
      </c>
      <c r="G44" s="252" t="s">
        <v>299</v>
      </c>
      <c r="H44" s="252" t="s">
        <v>300</v>
      </c>
      <c r="I44" s="252" t="s">
        <v>57</v>
      </c>
      <c r="J44" s="252" t="s">
        <v>151</v>
      </c>
      <c r="K44" s="252" t="s">
        <v>58</v>
      </c>
      <c r="L44" s="252" t="s">
        <v>59</v>
      </c>
    </row>
    <row r="45" spans="1:13" hidden="1">
      <c r="A45" s="252">
        <v>553</v>
      </c>
      <c r="B45" s="252" t="s">
        <v>301</v>
      </c>
      <c r="C45" s="252" t="s">
        <v>302</v>
      </c>
      <c r="D45" s="118" t="s">
        <v>91</v>
      </c>
      <c r="E45" s="252" t="s">
        <v>303</v>
      </c>
      <c r="F45" s="252">
        <v>3775</v>
      </c>
      <c r="G45" s="252" t="s">
        <v>304</v>
      </c>
      <c r="H45" s="252" t="s">
        <v>305</v>
      </c>
      <c r="I45" s="252" t="s">
        <v>306</v>
      </c>
      <c r="J45" s="252" t="s">
        <v>307</v>
      </c>
      <c r="K45" s="252" t="s">
        <v>308</v>
      </c>
      <c r="L45" s="252" t="s">
        <v>65</v>
      </c>
    </row>
    <row r="46" spans="1:13" hidden="1">
      <c r="A46" s="252">
        <v>558</v>
      </c>
      <c r="B46" s="252" t="s">
        <v>309</v>
      </c>
      <c r="C46" s="252" t="s">
        <v>310</v>
      </c>
      <c r="D46" s="118" t="s">
        <v>46</v>
      </c>
      <c r="E46" s="252" t="s">
        <v>311</v>
      </c>
      <c r="F46" s="252">
        <v>390</v>
      </c>
      <c r="G46" s="252" t="s">
        <v>312</v>
      </c>
      <c r="H46" s="252" t="s">
        <v>313</v>
      </c>
      <c r="I46" s="252" t="s">
        <v>57</v>
      </c>
      <c r="J46" s="252" t="s">
        <v>309</v>
      </c>
      <c r="K46" s="252" t="s">
        <v>314</v>
      </c>
      <c r="L46" s="252" t="s">
        <v>195</v>
      </c>
    </row>
    <row r="47" spans="1:13" hidden="1">
      <c r="A47" s="252">
        <v>559</v>
      </c>
      <c r="B47" s="252" t="s">
        <v>315</v>
      </c>
      <c r="C47" s="252" t="s">
        <v>316</v>
      </c>
      <c r="D47" s="118" t="s">
        <v>91</v>
      </c>
      <c r="E47" s="252" t="s">
        <v>317</v>
      </c>
      <c r="F47" s="252">
        <v>81</v>
      </c>
      <c r="G47" s="252" t="s">
        <v>318</v>
      </c>
      <c r="H47" s="252" t="s">
        <v>319</v>
      </c>
      <c r="I47" s="252" t="s">
        <v>57</v>
      </c>
      <c r="J47" s="252" t="s">
        <v>320</v>
      </c>
      <c r="K47" s="252" t="s">
        <v>58</v>
      </c>
      <c r="L47" s="252" t="s">
        <v>59</v>
      </c>
    </row>
    <row r="48" spans="1:13" hidden="1">
      <c r="A48" s="252">
        <v>560</v>
      </c>
      <c r="B48" s="252" t="s">
        <v>321</v>
      </c>
      <c r="C48" s="252" t="s">
        <v>322</v>
      </c>
      <c r="D48" s="118" t="s">
        <v>91</v>
      </c>
      <c r="E48" s="252" t="s">
        <v>323</v>
      </c>
      <c r="F48" s="252">
        <v>0</v>
      </c>
      <c r="G48" s="252" t="s">
        <v>324</v>
      </c>
      <c r="H48" s="252" t="s">
        <v>325</v>
      </c>
      <c r="I48" s="252" t="s">
        <v>326</v>
      </c>
      <c r="J48" s="252" t="s">
        <v>327</v>
      </c>
      <c r="K48" s="252" t="s">
        <v>328</v>
      </c>
      <c r="L48" s="252" t="s">
        <v>195</v>
      </c>
    </row>
    <row r="49" spans="1:12" hidden="1">
      <c r="A49" s="252">
        <v>563</v>
      </c>
      <c r="B49" s="252" t="s">
        <v>329</v>
      </c>
      <c r="C49" s="252" t="s">
        <v>330</v>
      </c>
      <c r="D49" s="118" t="s">
        <v>46</v>
      </c>
      <c r="E49" s="252" t="s">
        <v>331</v>
      </c>
      <c r="F49" s="252">
        <v>112</v>
      </c>
      <c r="G49" s="252" t="s">
        <v>332</v>
      </c>
      <c r="H49" s="252" t="s">
        <v>333</v>
      </c>
      <c r="I49" s="252" t="s">
        <v>329</v>
      </c>
      <c r="J49" s="252" t="s">
        <v>95</v>
      </c>
      <c r="K49" s="252" t="s">
        <v>58</v>
      </c>
      <c r="L49" s="252" t="s">
        <v>59</v>
      </c>
    </row>
    <row r="50" spans="1:12" hidden="1">
      <c r="A50" s="252">
        <v>564</v>
      </c>
      <c r="B50" s="252" t="s">
        <v>334</v>
      </c>
      <c r="C50" s="252" t="s">
        <v>335</v>
      </c>
      <c r="D50" s="118" t="s">
        <v>46</v>
      </c>
      <c r="E50" s="252" t="s">
        <v>336</v>
      </c>
      <c r="F50" s="252">
        <v>102</v>
      </c>
      <c r="G50" s="252" t="s">
        <v>337</v>
      </c>
      <c r="H50" s="252" t="s">
        <v>338</v>
      </c>
      <c r="I50" s="252" t="s">
        <v>339</v>
      </c>
      <c r="J50" s="252" t="s">
        <v>95</v>
      </c>
      <c r="K50" s="252" t="s">
        <v>58</v>
      </c>
      <c r="L50" s="252" t="s">
        <v>59</v>
      </c>
    </row>
    <row r="51" spans="1:12" hidden="1">
      <c r="A51" s="252">
        <v>565</v>
      </c>
      <c r="B51" s="252" t="s">
        <v>340</v>
      </c>
      <c r="C51" s="252" t="s">
        <v>341</v>
      </c>
      <c r="D51" s="118" t="s">
        <v>91</v>
      </c>
      <c r="E51" s="252" t="s">
        <v>342</v>
      </c>
      <c r="F51" s="252">
        <v>800</v>
      </c>
      <c r="G51" s="252" t="s">
        <v>343</v>
      </c>
      <c r="H51" s="252" t="s">
        <v>344</v>
      </c>
      <c r="I51" s="252" t="s">
        <v>345</v>
      </c>
      <c r="J51" s="252" t="s">
        <v>346</v>
      </c>
      <c r="K51" s="252" t="s">
        <v>112</v>
      </c>
      <c r="L51" s="252" t="s">
        <v>65</v>
      </c>
    </row>
    <row r="52" spans="1:12" hidden="1">
      <c r="A52" s="252">
        <v>566</v>
      </c>
      <c r="B52" s="252" t="s">
        <v>347</v>
      </c>
      <c r="C52" s="252" t="s">
        <v>348</v>
      </c>
      <c r="D52" s="118" t="s">
        <v>91</v>
      </c>
      <c r="E52" s="252" t="s">
        <v>349</v>
      </c>
      <c r="F52" s="252">
        <v>2990</v>
      </c>
      <c r="G52" s="252" t="s">
        <v>350</v>
      </c>
      <c r="H52" s="252" t="s">
        <v>351</v>
      </c>
      <c r="I52" s="252" t="s">
        <v>352</v>
      </c>
      <c r="J52" s="252" t="s">
        <v>353</v>
      </c>
      <c r="K52" s="252" t="s">
        <v>354</v>
      </c>
      <c r="L52" s="252" t="s">
        <v>65</v>
      </c>
    </row>
    <row r="53" spans="1:12" hidden="1">
      <c r="A53" s="252">
        <v>568</v>
      </c>
      <c r="B53" s="252" t="s">
        <v>238</v>
      </c>
      <c r="C53" s="252" t="s">
        <v>355</v>
      </c>
      <c r="D53" s="118" t="s">
        <v>46</v>
      </c>
      <c r="E53" s="252" t="s">
        <v>356</v>
      </c>
      <c r="F53" s="252">
        <v>532</v>
      </c>
      <c r="G53" s="252"/>
      <c r="H53" s="252" t="s">
        <v>357</v>
      </c>
      <c r="I53" s="252" t="s">
        <v>57</v>
      </c>
      <c r="J53" s="252" t="s">
        <v>238</v>
      </c>
      <c r="K53" s="252" t="s">
        <v>239</v>
      </c>
      <c r="L53" s="252" t="s">
        <v>65</v>
      </c>
    </row>
    <row r="54" spans="1:12" hidden="1">
      <c r="A54" s="252">
        <v>571</v>
      </c>
      <c r="B54" s="252" t="s">
        <v>358</v>
      </c>
      <c r="C54" s="252" t="s">
        <v>359</v>
      </c>
      <c r="D54" s="118" t="s">
        <v>91</v>
      </c>
      <c r="E54" s="252" t="s">
        <v>360</v>
      </c>
      <c r="F54" s="252">
        <v>4001</v>
      </c>
      <c r="G54" s="252" t="s">
        <v>361</v>
      </c>
      <c r="H54" s="252" t="s">
        <v>362</v>
      </c>
      <c r="I54" s="252" t="s">
        <v>57</v>
      </c>
      <c r="J54" s="252" t="s">
        <v>363</v>
      </c>
      <c r="K54" s="252" t="s">
        <v>50</v>
      </c>
      <c r="L54" s="252" t="s">
        <v>51</v>
      </c>
    </row>
    <row r="55" spans="1:12" hidden="1">
      <c r="A55" s="252">
        <v>573</v>
      </c>
      <c r="B55" s="252" t="s">
        <v>143</v>
      </c>
      <c r="C55" s="252" t="s">
        <v>364</v>
      </c>
      <c r="D55" s="118" t="s">
        <v>46</v>
      </c>
      <c r="E55" s="252" t="s">
        <v>365</v>
      </c>
      <c r="F55" s="252">
        <v>395</v>
      </c>
      <c r="G55" s="252"/>
      <c r="H55" s="252" t="s">
        <v>366</v>
      </c>
      <c r="I55" s="252" t="s">
        <v>57</v>
      </c>
      <c r="J55" s="252" t="s">
        <v>143</v>
      </c>
      <c r="K55" s="252" t="s">
        <v>58</v>
      </c>
      <c r="L55" s="252" t="s">
        <v>59</v>
      </c>
    </row>
    <row r="56" spans="1:12" hidden="1">
      <c r="A56" s="252">
        <v>575</v>
      </c>
      <c r="B56" s="252" t="s">
        <v>367</v>
      </c>
      <c r="C56" s="252" t="s">
        <v>368</v>
      </c>
      <c r="D56" s="118" t="s">
        <v>46</v>
      </c>
      <c r="E56" s="252" t="s">
        <v>369</v>
      </c>
      <c r="F56" s="252">
        <v>689</v>
      </c>
      <c r="G56" s="252"/>
      <c r="H56" s="252" t="s">
        <v>370</v>
      </c>
      <c r="I56" s="252" t="s">
        <v>371</v>
      </c>
      <c r="J56" s="252" t="s">
        <v>372</v>
      </c>
      <c r="K56" s="252" t="s">
        <v>120</v>
      </c>
      <c r="L56" s="252" t="s">
        <v>59</v>
      </c>
    </row>
    <row r="57" spans="1:12" hidden="1">
      <c r="A57" s="252">
        <v>576</v>
      </c>
      <c r="B57" s="252" t="s">
        <v>373</v>
      </c>
      <c r="C57" s="252" t="s">
        <v>374</v>
      </c>
      <c r="D57" s="118" t="s">
        <v>91</v>
      </c>
      <c r="E57" s="252" t="s">
        <v>375</v>
      </c>
      <c r="F57" s="252">
        <v>500</v>
      </c>
      <c r="G57" s="252" t="s">
        <v>376</v>
      </c>
      <c r="H57" s="252" t="s">
        <v>377</v>
      </c>
      <c r="I57" s="252" t="s">
        <v>378</v>
      </c>
      <c r="J57" s="252" t="s">
        <v>379</v>
      </c>
      <c r="K57" s="252" t="s">
        <v>58</v>
      </c>
      <c r="L57" s="252" t="s">
        <v>59</v>
      </c>
    </row>
    <row r="58" spans="1:12" hidden="1">
      <c r="A58" s="252">
        <v>577</v>
      </c>
      <c r="B58" s="252" t="s">
        <v>380</v>
      </c>
      <c r="C58" s="252" t="s">
        <v>381</v>
      </c>
      <c r="D58" s="118" t="s">
        <v>91</v>
      </c>
      <c r="E58" s="252" t="s">
        <v>382</v>
      </c>
      <c r="F58" s="252">
        <v>1001</v>
      </c>
      <c r="G58" s="252" t="s">
        <v>383</v>
      </c>
      <c r="H58" s="252" t="s">
        <v>384</v>
      </c>
      <c r="I58" s="252" t="s">
        <v>385</v>
      </c>
      <c r="J58" s="252" t="s">
        <v>386</v>
      </c>
      <c r="K58" s="252" t="s">
        <v>58</v>
      </c>
      <c r="L58" s="252" t="s">
        <v>59</v>
      </c>
    </row>
    <row r="59" spans="1:12" hidden="1">
      <c r="A59" s="252">
        <v>578</v>
      </c>
      <c r="B59" s="252" t="s">
        <v>387</v>
      </c>
      <c r="C59" s="252" t="s">
        <v>388</v>
      </c>
      <c r="D59" s="118" t="s">
        <v>91</v>
      </c>
      <c r="E59" s="252" t="s">
        <v>389</v>
      </c>
      <c r="F59" s="252">
        <v>2525</v>
      </c>
      <c r="G59" s="252" t="s">
        <v>390</v>
      </c>
      <c r="H59" s="252" t="s">
        <v>391</v>
      </c>
      <c r="I59" s="252" t="s">
        <v>392</v>
      </c>
      <c r="J59" s="252" t="s">
        <v>393</v>
      </c>
      <c r="K59" s="252" t="s">
        <v>88</v>
      </c>
      <c r="L59" s="252" t="s">
        <v>51</v>
      </c>
    </row>
    <row r="60" spans="1:12" hidden="1">
      <c r="A60" s="252">
        <v>579</v>
      </c>
      <c r="B60" s="252" t="s">
        <v>394</v>
      </c>
      <c r="C60" s="252" t="s">
        <v>395</v>
      </c>
      <c r="D60" s="118" t="s">
        <v>91</v>
      </c>
      <c r="E60" s="252" t="s">
        <v>396</v>
      </c>
      <c r="F60" s="252">
        <v>459</v>
      </c>
      <c r="G60" s="252" t="s">
        <v>397</v>
      </c>
      <c r="H60" s="252" t="s">
        <v>398</v>
      </c>
      <c r="I60" s="252" t="s">
        <v>196</v>
      </c>
      <c r="J60" s="252" t="s">
        <v>95</v>
      </c>
      <c r="K60" s="252" t="s">
        <v>58</v>
      </c>
      <c r="L60" s="252" t="s">
        <v>59</v>
      </c>
    </row>
    <row r="61" spans="1:12" hidden="1">
      <c r="A61" s="252">
        <v>580</v>
      </c>
      <c r="B61" s="252" t="s">
        <v>399</v>
      </c>
      <c r="C61" s="252" t="s">
        <v>400</v>
      </c>
      <c r="D61" s="118" t="s">
        <v>91</v>
      </c>
      <c r="E61" s="252" t="s">
        <v>401</v>
      </c>
      <c r="F61" s="252">
        <v>722</v>
      </c>
      <c r="G61" s="252"/>
      <c r="H61" s="252" t="s">
        <v>402</v>
      </c>
      <c r="I61" s="252" t="s">
        <v>57</v>
      </c>
      <c r="J61" s="252" t="s">
        <v>403</v>
      </c>
      <c r="K61" s="252" t="s">
        <v>58</v>
      </c>
      <c r="L61" s="252" t="s">
        <v>59</v>
      </c>
    </row>
    <row r="62" spans="1:12" hidden="1">
      <c r="A62" s="252">
        <v>582</v>
      </c>
      <c r="B62" s="252" t="s">
        <v>404</v>
      </c>
      <c r="C62" s="252" t="s">
        <v>405</v>
      </c>
      <c r="D62" s="118" t="s">
        <v>46</v>
      </c>
      <c r="E62" s="252" t="s">
        <v>406</v>
      </c>
      <c r="F62" s="252">
        <v>167</v>
      </c>
      <c r="G62" s="252"/>
      <c r="H62" s="252" t="s">
        <v>407</v>
      </c>
      <c r="I62" s="252" t="s">
        <v>57</v>
      </c>
      <c r="J62" s="252" t="s">
        <v>49</v>
      </c>
      <c r="K62" s="252" t="s">
        <v>50</v>
      </c>
      <c r="L62" s="252" t="s">
        <v>51</v>
      </c>
    </row>
    <row r="63" spans="1:12" hidden="1">
      <c r="A63" s="252">
        <v>583</v>
      </c>
      <c r="B63" s="252" t="s">
        <v>408</v>
      </c>
      <c r="C63" s="252" t="s">
        <v>409</v>
      </c>
      <c r="D63" s="118" t="s">
        <v>91</v>
      </c>
      <c r="E63" s="252" t="s">
        <v>410</v>
      </c>
      <c r="F63" s="252">
        <v>3001</v>
      </c>
      <c r="G63" s="252" t="s">
        <v>411</v>
      </c>
      <c r="H63" s="252" t="s">
        <v>412</v>
      </c>
      <c r="I63" s="252" t="s">
        <v>413</v>
      </c>
      <c r="J63" s="252" t="s">
        <v>250</v>
      </c>
      <c r="K63" s="252" t="s">
        <v>251</v>
      </c>
      <c r="L63" s="252" t="s">
        <v>59</v>
      </c>
    </row>
    <row r="64" spans="1:12" hidden="1">
      <c r="A64" s="252">
        <v>586</v>
      </c>
      <c r="B64" s="252" t="s">
        <v>414</v>
      </c>
      <c r="C64" s="252" t="s">
        <v>415</v>
      </c>
      <c r="D64" s="118" t="s">
        <v>91</v>
      </c>
      <c r="E64" s="252" t="s">
        <v>416</v>
      </c>
      <c r="F64" s="252">
        <v>78</v>
      </c>
      <c r="G64" s="252" t="s">
        <v>417</v>
      </c>
      <c r="H64" s="252" t="s">
        <v>418</v>
      </c>
      <c r="I64" s="252" t="s">
        <v>419</v>
      </c>
      <c r="J64" s="252" t="s">
        <v>95</v>
      </c>
      <c r="K64" s="252" t="s">
        <v>58</v>
      </c>
      <c r="L64" s="252" t="s">
        <v>59</v>
      </c>
    </row>
    <row r="65" spans="1:12" hidden="1">
      <c r="A65" s="252">
        <v>589</v>
      </c>
      <c r="B65" s="252" t="s">
        <v>353</v>
      </c>
      <c r="C65" s="252" t="s">
        <v>420</v>
      </c>
      <c r="D65" s="118" t="s">
        <v>46</v>
      </c>
      <c r="E65" s="252" t="s">
        <v>421</v>
      </c>
      <c r="F65" s="252">
        <v>352</v>
      </c>
      <c r="G65" s="252"/>
      <c r="H65" s="252" t="s">
        <v>422</v>
      </c>
      <c r="I65" s="252" t="s">
        <v>57</v>
      </c>
      <c r="J65" s="252" t="s">
        <v>353</v>
      </c>
      <c r="K65" s="252" t="s">
        <v>354</v>
      </c>
      <c r="L65" s="252" t="s">
        <v>65</v>
      </c>
    </row>
    <row r="66" spans="1:12" hidden="1">
      <c r="A66" s="252">
        <v>590</v>
      </c>
      <c r="B66" s="252" t="s">
        <v>423</v>
      </c>
      <c r="C66" s="252" t="s">
        <v>424</v>
      </c>
      <c r="D66" s="118" t="s">
        <v>91</v>
      </c>
      <c r="E66" s="252" t="s">
        <v>425</v>
      </c>
      <c r="F66" s="252">
        <v>1275</v>
      </c>
      <c r="G66" s="252" t="s">
        <v>426</v>
      </c>
      <c r="H66" s="252" t="s">
        <v>427</v>
      </c>
      <c r="I66" s="252" t="s">
        <v>57</v>
      </c>
      <c r="J66" s="252" t="s">
        <v>428</v>
      </c>
      <c r="K66" s="252" t="s">
        <v>251</v>
      </c>
      <c r="L66" s="252" t="s">
        <v>59</v>
      </c>
    </row>
    <row r="67" spans="1:12" hidden="1">
      <c r="A67" s="252">
        <v>594</v>
      </c>
      <c r="B67" s="252" t="s">
        <v>429</v>
      </c>
      <c r="C67" s="252" t="s">
        <v>430</v>
      </c>
      <c r="D67" s="118" t="s">
        <v>91</v>
      </c>
      <c r="E67" s="252" t="s">
        <v>431</v>
      </c>
      <c r="F67" s="252">
        <v>587</v>
      </c>
      <c r="G67" s="252" t="s">
        <v>432</v>
      </c>
      <c r="H67" s="252" t="s">
        <v>433</v>
      </c>
      <c r="I67" s="252" t="s">
        <v>434</v>
      </c>
      <c r="J67" s="252" t="s">
        <v>84</v>
      </c>
      <c r="K67" s="252" t="s">
        <v>88</v>
      </c>
      <c r="L67" s="252" t="s">
        <v>51</v>
      </c>
    </row>
    <row r="68" spans="1:12" hidden="1">
      <c r="A68" s="252">
        <v>597</v>
      </c>
      <c r="B68" s="252" t="s">
        <v>435</v>
      </c>
      <c r="C68" s="252" t="s">
        <v>436</v>
      </c>
      <c r="D68" s="118" t="s">
        <v>46</v>
      </c>
      <c r="E68" s="252" t="s">
        <v>437</v>
      </c>
      <c r="F68" s="252">
        <v>163</v>
      </c>
      <c r="G68" s="252"/>
      <c r="H68" s="252" t="s">
        <v>438</v>
      </c>
      <c r="I68" s="252" t="s">
        <v>57</v>
      </c>
      <c r="J68" s="252" t="s">
        <v>435</v>
      </c>
      <c r="K68" s="252" t="s">
        <v>120</v>
      </c>
      <c r="L68" s="252" t="s">
        <v>59</v>
      </c>
    </row>
    <row r="69" spans="1:12" hidden="1">
      <c r="A69" s="252">
        <v>598</v>
      </c>
      <c r="B69" s="252" t="s">
        <v>439</v>
      </c>
      <c r="C69" s="252" t="s">
        <v>440</v>
      </c>
      <c r="D69" s="118" t="s">
        <v>91</v>
      </c>
      <c r="E69" s="252" t="s">
        <v>441</v>
      </c>
      <c r="F69" s="252">
        <v>3600</v>
      </c>
      <c r="G69" s="252" t="s">
        <v>442</v>
      </c>
      <c r="H69" s="252" t="s">
        <v>443</v>
      </c>
      <c r="I69" s="252" t="s">
        <v>444</v>
      </c>
      <c r="J69" s="252" t="s">
        <v>445</v>
      </c>
      <c r="K69" s="252" t="s">
        <v>446</v>
      </c>
      <c r="L69" s="252" t="s">
        <v>130</v>
      </c>
    </row>
    <row r="70" spans="1:12" hidden="1">
      <c r="A70" s="252">
        <v>599</v>
      </c>
      <c r="B70" s="252" t="s">
        <v>447</v>
      </c>
      <c r="C70" s="252" t="s">
        <v>448</v>
      </c>
      <c r="D70" s="118" t="s">
        <v>46</v>
      </c>
      <c r="E70" s="252" t="s">
        <v>449</v>
      </c>
      <c r="F70" s="252">
        <v>175</v>
      </c>
      <c r="G70" s="252" t="s">
        <v>450</v>
      </c>
      <c r="H70" s="252" t="s">
        <v>451</v>
      </c>
      <c r="I70" s="252" t="s">
        <v>57</v>
      </c>
      <c r="J70" s="252" t="s">
        <v>447</v>
      </c>
      <c r="K70" s="252" t="s">
        <v>263</v>
      </c>
      <c r="L70" s="252" t="s">
        <v>51</v>
      </c>
    </row>
    <row r="71" spans="1:12" hidden="1">
      <c r="A71" s="252">
        <v>600</v>
      </c>
      <c r="B71" s="252" t="s">
        <v>452</v>
      </c>
      <c r="C71" s="252" t="s">
        <v>453</v>
      </c>
      <c r="D71" s="118" t="s">
        <v>91</v>
      </c>
      <c r="E71" s="252" t="s">
        <v>454</v>
      </c>
      <c r="F71" s="252">
        <v>2915</v>
      </c>
      <c r="G71" s="252" t="s">
        <v>455</v>
      </c>
      <c r="H71" s="252" t="s">
        <v>456</v>
      </c>
      <c r="I71" s="252" t="s">
        <v>457</v>
      </c>
      <c r="J71" s="252" t="s">
        <v>458</v>
      </c>
      <c r="K71" s="252" t="s">
        <v>459</v>
      </c>
      <c r="L71" s="252" t="s">
        <v>65</v>
      </c>
    </row>
    <row r="72" spans="1:12" hidden="1">
      <c r="A72" s="252">
        <v>601</v>
      </c>
      <c r="B72" s="252" t="s">
        <v>460</v>
      </c>
      <c r="C72" s="252" t="s">
        <v>461</v>
      </c>
      <c r="D72" s="118" t="s">
        <v>91</v>
      </c>
      <c r="E72" s="252" t="s">
        <v>462</v>
      </c>
      <c r="F72" s="252">
        <v>777</v>
      </c>
      <c r="G72" s="252" t="s">
        <v>463</v>
      </c>
      <c r="H72" s="252" t="s">
        <v>464</v>
      </c>
      <c r="I72" s="252" t="s">
        <v>465</v>
      </c>
      <c r="J72" s="252" t="s">
        <v>466</v>
      </c>
      <c r="K72" s="252" t="s">
        <v>112</v>
      </c>
      <c r="L72" s="252" t="s">
        <v>65</v>
      </c>
    </row>
    <row r="73" spans="1:12" hidden="1">
      <c r="A73" s="252">
        <v>604</v>
      </c>
      <c r="B73" s="252" t="s">
        <v>467</v>
      </c>
      <c r="C73" s="252" t="s">
        <v>468</v>
      </c>
      <c r="D73" s="118" t="s">
        <v>46</v>
      </c>
      <c r="E73" s="252" t="s">
        <v>469</v>
      </c>
      <c r="F73" s="252">
        <v>106</v>
      </c>
      <c r="G73" s="252"/>
      <c r="H73" s="252" t="s">
        <v>470</v>
      </c>
      <c r="I73" s="252" t="s">
        <v>57</v>
      </c>
      <c r="J73" s="252" t="s">
        <v>467</v>
      </c>
      <c r="K73" s="252" t="s">
        <v>459</v>
      </c>
      <c r="L73" s="252" t="s">
        <v>65</v>
      </c>
    </row>
    <row r="74" spans="1:12" hidden="1">
      <c r="A74" s="252">
        <v>605</v>
      </c>
      <c r="B74" s="252" t="s">
        <v>439</v>
      </c>
      <c r="C74" s="252" t="s">
        <v>471</v>
      </c>
      <c r="D74" s="118" t="s">
        <v>91</v>
      </c>
      <c r="E74" s="252" t="s">
        <v>472</v>
      </c>
      <c r="F74" s="252">
        <v>458</v>
      </c>
      <c r="G74" s="252" t="s">
        <v>473</v>
      </c>
      <c r="H74" s="252" t="s">
        <v>474</v>
      </c>
      <c r="I74" s="252" t="s">
        <v>475</v>
      </c>
      <c r="J74" s="252" t="s">
        <v>476</v>
      </c>
      <c r="K74" s="252" t="s">
        <v>263</v>
      </c>
      <c r="L74" s="252" t="s">
        <v>51</v>
      </c>
    </row>
    <row r="75" spans="1:12" hidden="1">
      <c r="A75" s="252">
        <v>606</v>
      </c>
      <c r="B75" s="252" t="s">
        <v>477</v>
      </c>
      <c r="C75" s="252" t="s">
        <v>478</v>
      </c>
      <c r="D75" s="118" t="s">
        <v>91</v>
      </c>
      <c r="E75" s="252" t="s">
        <v>479</v>
      </c>
      <c r="F75" s="252">
        <v>3900</v>
      </c>
      <c r="G75" s="252" t="s">
        <v>480</v>
      </c>
      <c r="H75" s="252" t="s">
        <v>481</v>
      </c>
      <c r="I75" s="252" t="s">
        <v>482</v>
      </c>
      <c r="J75" s="252" t="s">
        <v>483</v>
      </c>
      <c r="K75" s="252" t="s">
        <v>251</v>
      </c>
      <c r="L75" s="252" t="s">
        <v>59</v>
      </c>
    </row>
    <row r="76" spans="1:12" hidden="1">
      <c r="A76" s="252">
        <v>607</v>
      </c>
      <c r="B76" s="252" t="s">
        <v>484</v>
      </c>
      <c r="C76" s="252" t="s">
        <v>485</v>
      </c>
      <c r="D76" s="118" t="s">
        <v>91</v>
      </c>
      <c r="E76" s="252" t="s">
        <v>486</v>
      </c>
      <c r="F76" s="252">
        <v>1321</v>
      </c>
      <c r="G76" s="252" t="s">
        <v>487</v>
      </c>
      <c r="H76" s="252" t="s">
        <v>488</v>
      </c>
      <c r="I76" s="252" t="s">
        <v>57</v>
      </c>
      <c r="J76" s="252" t="s">
        <v>489</v>
      </c>
      <c r="K76" s="252" t="s">
        <v>58</v>
      </c>
      <c r="L76" s="252" t="s">
        <v>59</v>
      </c>
    </row>
    <row r="77" spans="1:12" hidden="1">
      <c r="A77" s="252">
        <v>608</v>
      </c>
      <c r="B77" s="252" t="s">
        <v>490</v>
      </c>
      <c r="C77" s="252" t="s">
        <v>491</v>
      </c>
      <c r="D77" s="118" t="s">
        <v>91</v>
      </c>
      <c r="E77" s="252" t="s">
        <v>492</v>
      </c>
      <c r="F77" s="252">
        <v>1700</v>
      </c>
      <c r="G77" s="252" t="s">
        <v>493</v>
      </c>
      <c r="H77" s="252" t="s">
        <v>494</v>
      </c>
      <c r="I77" s="252" t="s">
        <v>495</v>
      </c>
      <c r="J77" s="252" t="s">
        <v>496</v>
      </c>
      <c r="K77" s="252" t="s">
        <v>58</v>
      </c>
      <c r="L77" s="252" t="s">
        <v>59</v>
      </c>
    </row>
    <row r="78" spans="1:12" hidden="1">
      <c r="A78" s="252">
        <v>610</v>
      </c>
      <c r="B78" s="252" t="s">
        <v>497</v>
      </c>
      <c r="C78" s="252" t="s">
        <v>498</v>
      </c>
      <c r="D78" s="118" t="s">
        <v>91</v>
      </c>
      <c r="E78" s="252" t="s">
        <v>499</v>
      </c>
      <c r="F78" s="252">
        <v>1190</v>
      </c>
      <c r="G78" s="252" t="s">
        <v>500</v>
      </c>
      <c r="H78" s="252" t="s">
        <v>501</v>
      </c>
      <c r="I78" s="252" t="s">
        <v>502</v>
      </c>
      <c r="J78" s="252" t="s">
        <v>60</v>
      </c>
      <c r="K78" s="252" t="s">
        <v>64</v>
      </c>
      <c r="L78" s="252" t="s">
        <v>65</v>
      </c>
    </row>
    <row r="79" spans="1:12" hidden="1">
      <c r="A79" s="252">
        <v>613</v>
      </c>
      <c r="B79" s="252" t="s">
        <v>503</v>
      </c>
      <c r="C79" s="252" t="s">
        <v>504</v>
      </c>
      <c r="D79" s="118" t="s">
        <v>46</v>
      </c>
      <c r="E79" s="252" t="s">
        <v>505</v>
      </c>
      <c r="F79" s="252">
        <v>4265</v>
      </c>
      <c r="G79" s="252"/>
      <c r="H79" s="252" t="s">
        <v>506</v>
      </c>
      <c r="I79" s="252" t="s">
        <v>503</v>
      </c>
      <c r="J79" s="252" t="s">
        <v>95</v>
      </c>
      <c r="K79" s="252" t="s">
        <v>58</v>
      </c>
      <c r="L79" s="252" t="s">
        <v>59</v>
      </c>
    </row>
    <row r="80" spans="1:12" hidden="1">
      <c r="A80" s="252">
        <v>617</v>
      </c>
      <c r="B80" s="252" t="s">
        <v>158</v>
      </c>
      <c r="C80" s="252" t="s">
        <v>507</v>
      </c>
      <c r="D80" s="118" t="s">
        <v>46</v>
      </c>
      <c r="E80" s="252" t="s">
        <v>508</v>
      </c>
      <c r="F80" s="252">
        <v>347</v>
      </c>
      <c r="G80" s="252" t="s">
        <v>500</v>
      </c>
      <c r="H80" s="252" t="s">
        <v>509</v>
      </c>
      <c r="I80" s="252" t="s">
        <v>510</v>
      </c>
      <c r="J80" s="252" t="s">
        <v>158</v>
      </c>
      <c r="K80" s="252" t="s">
        <v>159</v>
      </c>
      <c r="L80" s="252" t="s">
        <v>130</v>
      </c>
    </row>
    <row r="81" spans="1:12" hidden="1">
      <c r="A81" s="252">
        <v>618</v>
      </c>
      <c r="B81" s="252" t="s">
        <v>511</v>
      </c>
      <c r="C81" s="252" t="s">
        <v>512</v>
      </c>
      <c r="D81" s="118" t="s">
        <v>91</v>
      </c>
      <c r="E81" s="252" t="s">
        <v>513</v>
      </c>
      <c r="F81" s="252">
        <v>0</v>
      </c>
      <c r="G81" s="252" t="s">
        <v>514</v>
      </c>
      <c r="H81" s="252" t="s">
        <v>515</v>
      </c>
      <c r="I81" s="252" t="s">
        <v>516</v>
      </c>
      <c r="J81" s="252" t="s">
        <v>517</v>
      </c>
      <c r="K81" s="252" t="s">
        <v>459</v>
      </c>
      <c r="L81" s="252" t="s">
        <v>65</v>
      </c>
    </row>
    <row r="82" spans="1:12" hidden="1">
      <c r="A82" s="252">
        <v>619</v>
      </c>
      <c r="B82" s="252" t="s">
        <v>518</v>
      </c>
      <c r="C82" s="252" t="s">
        <v>519</v>
      </c>
      <c r="D82" s="118" t="s">
        <v>91</v>
      </c>
      <c r="E82" s="252" t="s">
        <v>520</v>
      </c>
      <c r="F82" s="252">
        <v>5308</v>
      </c>
      <c r="G82" s="252" t="s">
        <v>521</v>
      </c>
      <c r="H82" s="252" t="s">
        <v>522</v>
      </c>
      <c r="I82" s="252" t="s">
        <v>523</v>
      </c>
      <c r="J82" s="252" t="s">
        <v>151</v>
      </c>
      <c r="K82" s="252" t="s">
        <v>58</v>
      </c>
      <c r="L82" s="252" t="s">
        <v>59</v>
      </c>
    </row>
    <row r="83" spans="1:12" hidden="1">
      <c r="A83" s="252">
        <v>622</v>
      </c>
      <c r="B83" s="252" t="s">
        <v>524</v>
      </c>
      <c r="C83" s="252" t="s">
        <v>525</v>
      </c>
      <c r="D83" s="118" t="s">
        <v>91</v>
      </c>
      <c r="E83" s="252" t="s">
        <v>526</v>
      </c>
      <c r="F83" s="252">
        <v>566</v>
      </c>
      <c r="G83" s="252" t="s">
        <v>527</v>
      </c>
      <c r="H83" s="252" t="s">
        <v>528</v>
      </c>
      <c r="I83" s="252" t="s">
        <v>529</v>
      </c>
      <c r="J83" s="252" t="s">
        <v>95</v>
      </c>
      <c r="K83" s="252" t="s">
        <v>58</v>
      </c>
      <c r="L83" s="252" t="s">
        <v>59</v>
      </c>
    </row>
    <row r="84" spans="1:12" hidden="1">
      <c r="A84" s="252">
        <v>623</v>
      </c>
      <c r="B84" s="252" t="s">
        <v>530</v>
      </c>
      <c r="C84" s="252" t="s">
        <v>531</v>
      </c>
      <c r="D84" s="118" t="s">
        <v>91</v>
      </c>
      <c r="E84" s="252" t="s">
        <v>532</v>
      </c>
      <c r="F84" s="252">
        <v>800</v>
      </c>
      <c r="G84" s="252" t="s">
        <v>533</v>
      </c>
      <c r="H84" s="252" t="s">
        <v>534</v>
      </c>
      <c r="I84" s="252" t="s">
        <v>535</v>
      </c>
      <c r="J84" s="252" t="s">
        <v>536</v>
      </c>
      <c r="K84" s="252" t="s">
        <v>112</v>
      </c>
      <c r="L84" s="252" t="s">
        <v>65</v>
      </c>
    </row>
    <row r="85" spans="1:12" hidden="1">
      <c r="A85" s="252">
        <v>624</v>
      </c>
      <c r="B85" s="252" t="s">
        <v>537</v>
      </c>
      <c r="C85" s="252" t="s">
        <v>538</v>
      </c>
      <c r="D85" s="118" t="s">
        <v>91</v>
      </c>
      <c r="E85" s="252" t="s">
        <v>539</v>
      </c>
      <c r="F85" s="252">
        <v>227</v>
      </c>
      <c r="G85" s="252" t="s">
        <v>540</v>
      </c>
      <c r="H85" s="252" t="s">
        <v>541</v>
      </c>
      <c r="I85" s="252" t="s">
        <v>542</v>
      </c>
      <c r="J85" s="252" t="s">
        <v>543</v>
      </c>
      <c r="K85" s="252" t="s">
        <v>58</v>
      </c>
      <c r="L85" s="252" t="s">
        <v>59</v>
      </c>
    </row>
    <row r="86" spans="1:12" hidden="1">
      <c r="A86" s="252">
        <v>625</v>
      </c>
      <c r="B86" s="252" t="s">
        <v>94</v>
      </c>
      <c r="C86" s="252" t="s">
        <v>544</v>
      </c>
      <c r="D86" s="118" t="s">
        <v>46</v>
      </c>
      <c r="E86" s="252" t="s">
        <v>545</v>
      </c>
      <c r="F86" s="252">
        <v>1355</v>
      </c>
      <c r="G86" s="252"/>
      <c r="H86" s="252" t="s">
        <v>546</v>
      </c>
      <c r="I86" s="252" t="s">
        <v>57</v>
      </c>
      <c r="J86" s="252" t="s">
        <v>94</v>
      </c>
      <c r="K86" s="252" t="s">
        <v>446</v>
      </c>
      <c r="L86" s="252" t="s">
        <v>130</v>
      </c>
    </row>
    <row r="87" spans="1:12" hidden="1">
      <c r="A87" s="252">
        <v>626</v>
      </c>
      <c r="B87" s="252" t="s">
        <v>547</v>
      </c>
      <c r="C87" s="252" t="s">
        <v>548</v>
      </c>
      <c r="D87" s="118" t="s">
        <v>91</v>
      </c>
      <c r="E87" s="252" t="s">
        <v>549</v>
      </c>
      <c r="F87" s="252">
        <v>0</v>
      </c>
      <c r="G87" s="252" t="s">
        <v>550</v>
      </c>
      <c r="H87" s="252" t="s">
        <v>551</v>
      </c>
      <c r="I87" s="252" t="s">
        <v>552</v>
      </c>
      <c r="J87" s="252" t="s">
        <v>95</v>
      </c>
      <c r="K87" s="252" t="s">
        <v>58</v>
      </c>
      <c r="L87" s="252" t="s">
        <v>59</v>
      </c>
    </row>
    <row r="88" spans="1:12" hidden="1">
      <c r="A88" s="252">
        <v>627</v>
      </c>
      <c r="B88" s="252" t="s">
        <v>553</v>
      </c>
      <c r="C88" s="252" t="s">
        <v>554</v>
      </c>
      <c r="D88" s="118" t="s">
        <v>91</v>
      </c>
      <c r="E88" s="252" t="s">
        <v>555</v>
      </c>
      <c r="F88" s="252">
        <v>2395</v>
      </c>
      <c r="G88" s="252" t="s">
        <v>556</v>
      </c>
      <c r="H88" s="252" t="s">
        <v>557</v>
      </c>
      <c r="I88" s="252" t="s">
        <v>558</v>
      </c>
      <c r="J88" s="252" t="s">
        <v>307</v>
      </c>
      <c r="K88" s="252" t="s">
        <v>308</v>
      </c>
      <c r="L88" s="252" t="s">
        <v>65</v>
      </c>
    </row>
    <row r="89" spans="1:12" hidden="1">
      <c r="A89" s="252">
        <v>629</v>
      </c>
      <c r="B89" s="252" t="s">
        <v>559</v>
      </c>
      <c r="C89" s="252" t="s">
        <v>560</v>
      </c>
      <c r="D89" s="118" t="s">
        <v>91</v>
      </c>
      <c r="E89" s="252" t="s">
        <v>561</v>
      </c>
      <c r="F89" s="252">
        <v>4775</v>
      </c>
      <c r="G89" s="252" t="s">
        <v>562</v>
      </c>
      <c r="H89" s="252" t="s">
        <v>563</v>
      </c>
      <c r="I89" s="252" t="s">
        <v>564</v>
      </c>
      <c r="J89" s="252" t="s">
        <v>565</v>
      </c>
      <c r="K89" s="252" t="s">
        <v>58</v>
      </c>
      <c r="L89" s="252" t="s">
        <v>59</v>
      </c>
    </row>
    <row r="90" spans="1:12" hidden="1">
      <c r="A90" s="252">
        <v>631</v>
      </c>
      <c r="B90" s="252" t="s">
        <v>566</v>
      </c>
      <c r="C90" s="252" t="s">
        <v>567</v>
      </c>
      <c r="D90" s="118" t="s">
        <v>91</v>
      </c>
      <c r="E90" s="252" t="s">
        <v>568</v>
      </c>
      <c r="F90" s="252">
        <v>1400</v>
      </c>
      <c r="G90" s="252"/>
      <c r="H90" s="252" t="s">
        <v>569</v>
      </c>
      <c r="I90" s="252" t="s">
        <v>570</v>
      </c>
      <c r="J90" s="252" t="s">
        <v>320</v>
      </c>
      <c r="K90" s="252" t="s">
        <v>58</v>
      </c>
      <c r="L90" s="252" t="s">
        <v>59</v>
      </c>
    </row>
    <row r="91" spans="1:12" hidden="1">
      <c r="A91" s="252">
        <v>632</v>
      </c>
      <c r="B91" s="252" t="s">
        <v>571</v>
      </c>
      <c r="C91" s="252" t="s">
        <v>572</v>
      </c>
      <c r="D91" s="118" t="s">
        <v>91</v>
      </c>
      <c r="E91" s="252" t="s">
        <v>573</v>
      </c>
      <c r="F91" s="252">
        <v>63</v>
      </c>
      <c r="G91" s="252" t="s">
        <v>574</v>
      </c>
      <c r="H91" s="252" t="s">
        <v>575</v>
      </c>
      <c r="I91" s="252" t="s">
        <v>576</v>
      </c>
      <c r="J91" s="252" t="s">
        <v>287</v>
      </c>
      <c r="K91" s="252" t="s">
        <v>263</v>
      </c>
      <c r="L91" s="252" t="s">
        <v>51</v>
      </c>
    </row>
    <row r="92" spans="1:12" hidden="1">
      <c r="A92" s="252">
        <v>633</v>
      </c>
      <c r="B92" s="252" t="s">
        <v>577</v>
      </c>
      <c r="C92" s="252" t="s">
        <v>578</v>
      </c>
      <c r="D92" s="118" t="s">
        <v>91</v>
      </c>
      <c r="E92" s="252" t="s">
        <v>579</v>
      </c>
      <c r="F92" s="252">
        <v>164</v>
      </c>
      <c r="G92" s="252"/>
      <c r="H92" s="252" t="s">
        <v>580</v>
      </c>
      <c r="I92" s="252" t="s">
        <v>581</v>
      </c>
      <c r="J92" s="252" t="s">
        <v>49</v>
      </c>
      <c r="K92" s="252" t="s">
        <v>50</v>
      </c>
      <c r="L92" s="252" t="s">
        <v>51</v>
      </c>
    </row>
    <row r="93" spans="1:12" hidden="1">
      <c r="A93" s="252">
        <v>635</v>
      </c>
      <c r="B93" s="252" t="s">
        <v>582</v>
      </c>
      <c r="C93" s="252" t="s">
        <v>583</v>
      </c>
      <c r="D93" s="118" t="s">
        <v>91</v>
      </c>
      <c r="E93" s="252" t="s">
        <v>584</v>
      </c>
      <c r="F93" s="252">
        <v>4000</v>
      </c>
      <c r="G93" s="252" t="s">
        <v>585</v>
      </c>
      <c r="H93" s="252" t="s">
        <v>586</v>
      </c>
      <c r="I93" s="252" t="s">
        <v>587</v>
      </c>
      <c r="J93" s="252" t="s">
        <v>250</v>
      </c>
      <c r="K93" s="252" t="s">
        <v>251</v>
      </c>
      <c r="L93" s="252" t="s">
        <v>59</v>
      </c>
    </row>
    <row r="94" spans="1:12" hidden="1">
      <c r="A94" s="252">
        <v>636</v>
      </c>
      <c r="B94" s="252" t="s">
        <v>588</v>
      </c>
      <c r="C94" s="252" t="s">
        <v>589</v>
      </c>
      <c r="D94" s="118" t="s">
        <v>91</v>
      </c>
      <c r="E94" s="252" t="s">
        <v>590</v>
      </c>
      <c r="F94" s="252">
        <v>500</v>
      </c>
      <c r="G94" s="252" t="s">
        <v>591</v>
      </c>
      <c r="H94" s="252" t="s">
        <v>592</v>
      </c>
      <c r="I94" s="252" t="s">
        <v>593</v>
      </c>
      <c r="J94" s="252" t="s">
        <v>594</v>
      </c>
      <c r="K94" s="252" t="s">
        <v>58</v>
      </c>
      <c r="L94" s="252" t="s">
        <v>59</v>
      </c>
    </row>
    <row r="95" spans="1:12" hidden="1">
      <c r="A95" s="252">
        <v>639</v>
      </c>
      <c r="B95" s="252" t="s">
        <v>595</v>
      </c>
      <c r="C95" s="252" t="s">
        <v>596</v>
      </c>
      <c r="D95" s="118" t="s">
        <v>46</v>
      </c>
      <c r="E95" s="252" t="s">
        <v>597</v>
      </c>
      <c r="F95" s="252">
        <v>1994</v>
      </c>
      <c r="G95" s="252"/>
      <c r="H95" s="252" t="s">
        <v>598</v>
      </c>
      <c r="I95" s="252" t="s">
        <v>57</v>
      </c>
      <c r="J95" s="252" t="s">
        <v>595</v>
      </c>
      <c r="K95" s="252" t="s">
        <v>58</v>
      </c>
      <c r="L95" s="252" t="s">
        <v>59</v>
      </c>
    </row>
    <row r="96" spans="1:12" hidden="1">
      <c r="A96" s="252">
        <v>640</v>
      </c>
      <c r="B96" s="252" t="s">
        <v>599</v>
      </c>
      <c r="C96" s="252" t="s">
        <v>600</v>
      </c>
      <c r="D96" s="118" t="s">
        <v>46</v>
      </c>
      <c r="E96" s="252" t="s">
        <v>601</v>
      </c>
      <c r="F96" s="252">
        <v>2404</v>
      </c>
      <c r="G96" s="252"/>
      <c r="H96" s="252" t="s">
        <v>602</v>
      </c>
      <c r="I96" s="252" t="s">
        <v>603</v>
      </c>
      <c r="J96" s="252" t="s">
        <v>95</v>
      </c>
      <c r="K96" s="252" t="s">
        <v>58</v>
      </c>
      <c r="L96" s="252" t="s">
        <v>59</v>
      </c>
    </row>
    <row r="97" spans="1:12" hidden="1">
      <c r="A97" s="252">
        <v>641</v>
      </c>
      <c r="B97" s="252" t="s">
        <v>604</v>
      </c>
      <c r="C97" s="252" t="s">
        <v>605</v>
      </c>
      <c r="D97" s="118" t="s">
        <v>46</v>
      </c>
      <c r="E97" s="252" t="s">
        <v>606</v>
      </c>
      <c r="F97" s="252">
        <v>88</v>
      </c>
      <c r="G97" s="252" t="s">
        <v>607</v>
      </c>
      <c r="H97" s="252" t="s">
        <v>608</v>
      </c>
      <c r="I97" s="252" t="s">
        <v>609</v>
      </c>
      <c r="J97" s="252" t="s">
        <v>604</v>
      </c>
      <c r="K97" s="252" t="s">
        <v>58</v>
      </c>
      <c r="L97" s="252" t="s">
        <v>59</v>
      </c>
    </row>
    <row r="98" spans="1:12">
      <c r="A98" s="252">
        <v>642</v>
      </c>
      <c r="B98" s="252" t="s">
        <v>610</v>
      </c>
      <c r="C98" s="252" t="s">
        <v>611</v>
      </c>
      <c r="D98" s="118" t="s">
        <v>91</v>
      </c>
      <c r="E98" s="252" t="s">
        <v>612</v>
      </c>
      <c r="F98" s="252">
        <v>351</v>
      </c>
      <c r="G98" s="252" t="s">
        <v>613</v>
      </c>
      <c r="H98" s="252" t="s">
        <v>614</v>
      </c>
      <c r="I98" s="252" t="s">
        <v>615</v>
      </c>
      <c r="J98" s="252" t="s">
        <v>616</v>
      </c>
      <c r="K98" s="252" t="s">
        <v>58</v>
      </c>
      <c r="L98" s="252" t="s">
        <v>59</v>
      </c>
    </row>
    <row r="99" spans="1:12" hidden="1">
      <c r="A99" s="252">
        <v>643</v>
      </c>
      <c r="B99" s="252" t="s">
        <v>617</v>
      </c>
      <c r="C99" s="252" t="s">
        <v>618</v>
      </c>
      <c r="D99" s="118" t="s">
        <v>91</v>
      </c>
      <c r="E99" s="252" t="s">
        <v>619</v>
      </c>
      <c r="F99" s="252">
        <v>184</v>
      </c>
      <c r="G99" s="252" t="s">
        <v>620</v>
      </c>
      <c r="H99" s="252" t="s">
        <v>621</v>
      </c>
      <c r="I99" s="252" t="s">
        <v>622</v>
      </c>
      <c r="J99" s="252" t="s">
        <v>173</v>
      </c>
      <c r="K99" s="252" t="s">
        <v>64</v>
      </c>
      <c r="L99" s="252" t="s">
        <v>65</v>
      </c>
    </row>
    <row r="100" spans="1:12" hidden="1">
      <c r="A100" s="252">
        <v>645</v>
      </c>
      <c r="B100" s="252" t="s">
        <v>623</v>
      </c>
      <c r="C100" s="252" t="s">
        <v>624</v>
      </c>
      <c r="D100" s="118" t="s">
        <v>46</v>
      </c>
      <c r="E100" s="252" t="s">
        <v>625</v>
      </c>
      <c r="F100" s="252">
        <v>478</v>
      </c>
      <c r="G100" s="252"/>
      <c r="H100" s="252" t="s">
        <v>626</v>
      </c>
      <c r="I100" s="252" t="s">
        <v>57</v>
      </c>
      <c r="J100" s="252" t="s">
        <v>623</v>
      </c>
      <c r="K100" s="252" t="s">
        <v>58</v>
      </c>
      <c r="L100" s="252" t="s">
        <v>59</v>
      </c>
    </row>
    <row r="101" spans="1:12" hidden="1">
      <c r="A101" s="252">
        <v>646</v>
      </c>
      <c r="B101" s="252" t="s">
        <v>627</v>
      </c>
      <c r="C101" s="252" t="s">
        <v>628</v>
      </c>
      <c r="D101" s="118" t="s">
        <v>91</v>
      </c>
      <c r="E101" s="252" t="s">
        <v>454</v>
      </c>
      <c r="F101" s="252">
        <v>148</v>
      </c>
      <c r="G101" s="252" t="s">
        <v>629</v>
      </c>
      <c r="H101" s="252" t="s">
        <v>630</v>
      </c>
      <c r="I101" s="252" t="s">
        <v>457</v>
      </c>
      <c r="J101" s="252" t="s">
        <v>458</v>
      </c>
      <c r="K101" s="252" t="s">
        <v>459</v>
      </c>
      <c r="L101" s="252" t="s">
        <v>65</v>
      </c>
    </row>
    <row r="102" spans="1:12" hidden="1">
      <c r="A102" s="252">
        <v>647</v>
      </c>
      <c r="B102" s="252" t="s">
        <v>631</v>
      </c>
      <c r="C102" s="252" t="s">
        <v>632</v>
      </c>
      <c r="D102" s="118" t="s">
        <v>46</v>
      </c>
      <c r="E102" s="252" t="s">
        <v>633</v>
      </c>
      <c r="F102" s="252">
        <v>322</v>
      </c>
      <c r="G102" s="252"/>
      <c r="H102" s="252" t="s">
        <v>634</v>
      </c>
      <c r="I102" s="252" t="s">
        <v>635</v>
      </c>
      <c r="J102" s="252" t="s">
        <v>636</v>
      </c>
      <c r="K102" s="252" t="s">
        <v>58</v>
      </c>
      <c r="L102" s="252" t="s">
        <v>59</v>
      </c>
    </row>
    <row r="103" spans="1:12" hidden="1">
      <c r="A103" s="252">
        <v>648</v>
      </c>
      <c r="B103" s="252" t="s">
        <v>637</v>
      </c>
      <c r="C103" s="252" t="s">
        <v>638</v>
      </c>
      <c r="D103" s="118" t="s">
        <v>91</v>
      </c>
      <c r="E103" s="252" t="s">
        <v>639</v>
      </c>
      <c r="F103" s="252">
        <v>0</v>
      </c>
      <c r="G103" s="252" t="s">
        <v>640</v>
      </c>
      <c r="H103" s="252" t="s">
        <v>641</v>
      </c>
      <c r="I103" s="252" t="s">
        <v>642</v>
      </c>
      <c r="J103" s="252" t="s">
        <v>643</v>
      </c>
      <c r="K103" s="252" t="s">
        <v>58</v>
      </c>
      <c r="L103" s="252" t="s">
        <v>59</v>
      </c>
    </row>
    <row r="104" spans="1:12" hidden="1">
      <c r="A104" s="252">
        <v>649</v>
      </c>
      <c r="B104" s="252" t="s">
        <v>644</v>
      </c>
      <c r="C104" s="252" t="s">
        <v>645</v>
      </c>
      <c r="D104" s="118" t="s">
        <v>91</v>
      </c>
      <c r="E104" s="252" t="s">
        <v>207</v>
      </c>
      <c r="F104" s="252">
        <v>4121</v>
      </c>
      <c r="G104" s="252" t="s">
        <v>646</v>
      </c>
      <c r="H104" s="252" t="s">
        <v>647</v>
      </c>
      <c r="I104" s="252" t="s">
        <v>648</v>
      </c>
      <c r="J104" s="252" t="s">
        <v>287</v>
      </c>
      <c r="K104" s="252" t="s">
        <v>263</v>
      </c>
      <c r="L104" s="252" t="s">
        <v>51</v>
      </c>
    </row>
    <row r="105" spans="1:12" hidden="1">
      <c r="A105" s="252">
        <v>650</v>
      </c>
      <c r="B105" s="252" t="s">
        <v>649</v>
      </c>
      <c r="C105" s="252" t="s">
        <v>650</v>
      </c>
      <c r="D105" s="118" t="s">
        <v>91</v>
      </c>
      <c r="E105" s="252" t="s">
        <v>651</v>
      </c>
      <c r="F105" s="252">
        <v>776</v>
      </c>
      <c r="G105" s="252" t="s">
        <v>652</v>
      </c>
      <c r="H105" s="252" t="s">
        <v>653</v>
      </c>
      <c r="I105" s="252" t="s">
        <v>654</v>
      </c>
      <c r="J105" s="252" t="s">
        <v>327</v>
      </c>
      <c r="K105" s="252" t="s">
        <v>328</v>
      </c>
      <c r="L105" s="252" t="s">
        <v>195</v>
      </c>
    </row>
    <row r="106" spans="1:12" hidden="1">
      <c r="A106" s="252">
        <v>651</v>
      </c>
      <c r="B106" s="252" t="s">
        <v>655</v>
      </c>
      <c r="C106" s="252" t="s">
        <v>656</v>
      </c>
      <c r="D106" s="118" t="s">
        <v>91</v>
      </c>
      <c r="E106" s="252" t="s">
        <v>657</v>
      </c>
      <c r="F106" s="252">
        <v>0</v>
      </c>
      <c r="G106" s="252" t="s">
        <v>658</v>
      </c>
      <c r="H106" s="252" t="s">
        <v>659</v>
      </c>
      <c r="I106" s="252" t="s">
        <v>660</v>
      </c>
      <c r="J106" s="252" t="s">
        <v>128</v>
      </c>
      <c r="K106" s="252" t="s">
        <v>129</v>
      </c>
      <c r="L106" s="252" t="s">
        <v>130</v>
      </c>
    </row>
    <row r="107" spans="1:12" hidden="1">
      <c r="A107" s="252">
        <v>652</v>
      </c>
      <c r="B107" s="252" t="s">
        <v>661</v>
      </c>
      <c r="C107" s="252" t="s">
        <v>662</v>
      </c>
      <c r="D107" s="118" t="s">
        <v>91</v>
      </c>
      <c r="E107" s="252" t="s">
        <v>663</v>
      </c>
      <c r="F107" s="252">
        <v>90</v>
      </c>
      <c r="G107" s="252"/>
      <c r="H107" s="252" t="s">
        <v>664</v>
      </c>
      <c r="I107" s="252" t="s">
        <v>665</v>
      </c>
      <c r="J107" s="252" t="s">
        <v>666</v>
      </c>
      <c r="K107" s="252" t="s">
        <v>251</v>
      </c>
      <c r="L107" s="252" t="s">
        <v>59</v>
      </c>
    </row>
    <row r="108" spans="1:12" hidden="1">
      <c r="A108" s="252">
        <v>653</v>
      </c>
      <c r="B108" s="252" t="s">
        <v>667</v>
      </c>
      <c r="C108" s="252" t="s">
        <v>668</v>
      </c>
      <c r="D108" s="118" t="s">
        <v>91</v>
      </c>
      <c r="E108" s="252" t="s">
        <v>669</v>
      </c>
      <c r="F108" s="252">
        <v>4335</v>
      </c>
      <c r="G108" s="252" t="s">
        <v>670</v>
      </c>
      <c r="H108" s="252" t="s">
        <v>671</v>
      </c>
      <c r="I108" s="252" t="s">
        <v>672</v>
      </c>
      <c r="J108" s="252" t="s">
        <v>238</v>
      </c>
      <c r="K108" s="252" t="s">
        <v>239</v>
      </c>
      <c r="L108" s="252" t="s">
        <v>65</v>
      </c>
    </row>
    <row r="109" spans="1:12" hidden="1">
      <c r="A109" s="252">
        <v>654</v>
      </c>
      <c r="B109" s="252" t="s">
        <v>673</v>
      </c>
      <c r="C109" s="252" t="s">
        <v>674</v>
      </c>
      <c r="D109" s="118" t="s">
        <v>91</v>
      </c>
      <c r="E109" s="252" t="s">
        <v>675</v>
      </c>
      <c r="F109" s="252">
        <v>800</v>
      </c>
      <c r="G109" s="252" t="s">
        <v>676</v>
      </c>
      <c r="H109" s="252" t="s">
        <v>677</v>
      </c>
      <c r="I109" s="252" t="s">
        <v>678</v>
      </c>
      <c r="J109" s="252" t="s">
        <v>679</v>
      </c>
      <c r="K109" s="252" t="s">
        <v>120</v>
      </c>
      <c r="L109" s="252" t="s">
        <v>59</v>
      </c>
    </row>
    <row r="110" spans="1:12" hidden="1">
      <c r="A110" s="252">
        <v>656</v>
      </c>
      <c r="B110" s="252" t="s">
        <v>680</v>
      </c>
      <c r="C110" s="252" t="s">
        <v>681</v>
      </c>
      <c r="D110" s="118" t="s">
        <v>91</v>
      </c>
      <c r="E110" s="252" t="s">
        <v>682</v>
      </c>
      <c r="F110" s="252">
        <v>4400</v>
      </c>
      <c r="G110" s="252"/>
      <c r="H110" s="252" t="s">
        <v>683</v>
      </c>
      <c r="I110" s="252" t="s">
        <v>684</v>
      </c>
      <c r="J110" s="252" t="s">
        <v>95</v>
      </c>
      <c r="K110" s="252" t="s">
        <v>58</v>
      </c>
      <c r="L110" s="252" t="s">
        <v>59</v>
      </c>
    </row>
    <row r="111" spans="1:12" hidden="1">
      <c r="A111" s="252">
        <v>657</v>
      </c>
      <c r="B111" s="252" t="s">
        <v>685</v>
      </c>
      <c r="C111" s="252" t="s">
        <v>686</v>
      </c>
      <c r="D111" s="118" t="s">
        <v>46</v>
      </c>
      <c r="E111" s="252" t="s">
        <v>687</v>
      </c>
      <c r="F111" s="252">
        <v>6001</v>
      </c>
      <c r="G111" s="252" t="s">
        <v>688</v>
      </c>
      <c r="H111" s="252" t="s">
        <v>689</v>
      </c>
      <c r="I111" s="252" t="s">
        <v>690</v>
      </c>
      <c r="J111" s="252" t="s">
        <v>685</v>
      </c>
      <c r="K111" s="252" t="s">
        <v>120</v>
      </c>
      <c r="L111" s="252" t="s">
        <v>59</v>
      </c>
    </row>
    <row r="112" spans="1:12" hidden="1">
      <c r="A112" s="252">
        <v>659</v>
      </c>
      <c r="B112" s="252" t="s">
        <v>691</v>
      </c>
      <c r="C112" s="252" t="s">
        <v>692</v>
      </c>
      <c r="D112" s="118" t="s">
        <v>46</v>
      </c>
      <c r="E112" s="252" t="s">
        <v>693</v>
      </c>
      <c r="F112" s="252">
        <v>68</v>
      </c>
      <c r="G112" s="252"/>
      <c r="H112" s="252" t="s">
        <v>694</v>
      </c>
      <c r="I112" s="252" t="s">
        <v>695</v>
      </c>
      <c r="J112" s="252" t="s">
        <v>327</v>
      </c>
      <c r="K112" s="252" t="s">
        <v>328</v>
      </c>
      <c r="L112" s="252" t="s">
        <v>195</v>
      </c>
    </row>
    <row r="113" spans="1:12" hidden="1">
      <c r="A113" s="252">
        <v>660</v>
      </c>
      <c r="B113" s="252" t="s">
        <v>696</v>
      </c>
      <c r="C113" s="252" t="s">
        <v>697</v>
      </c>
      <c r="D113" s="118" t="s">
        <v>91</v>
      </c>
      <c r="E113" s="252" t="s">
        <v>698</v>
      </c>
      <c r="F113" s="252">
        <v>3288</v>
      </c>
      <c r="G113" s="252" t="s">
        <v>699</v>
      </c>
      <c r="H113" s="252" t="s">
        <v>700</v>
      </c>
      <c r="I113" s="252" t="s">
        <v>701</v>
      </c>
      <c r="J113" s="252" t="s">
        <v>210</v>
      </c>
      <c r="K113" s="252" t="s">
        <v>215</v>
      </c>
      <c r="L113" s="252" t="s">
        <v>195</v>
      </c>
    </row>
    <row r="114" spans="1:12" hidden="1">
      <c r="A114" s="252">
        <v>661</v>
      </c>
      <c r="B114" s="252" t="s">
        <v>702</v>
      </c>
      <c r="C114" s="252" t="s">
        <v>703</v>
      </c>
      <c r="D114" s="118" t="s">
        <v>91</v>
      </c>
      <c r="E114" s="252" t="s">
        <v>704</v>
      </c>
      <c r="F114" s="252">
        <v>3800</v>
      </c>
      <c r="G114" s="252" t="s">
        <v>705</v>
      </c>
      <c r="H114" s="252" t="s">
        <v>706</v>
      </c>
      <c r="I114" s="252" t="s">
        <v>707</v>
      </c>
      <c r="J114" s="252" t="s">
        <v>353</v>
      </c>
      <c r="K114" s="252" t="s">
        <v>354</v>
      </c>
      <c r="L114" s="252" t="s">
        <v>65</v>
      </c>
    </row>
    <row r="115" spans="1:12" hidden="1">
      <c r="A115" s="252">
        <v>662</v>
      </c>
      <c r="B115" s="252" t="s">
        <v>708</v>
      </c>
      <c r="C115" s="252" t="s">
        <v>709</v>
      </c>
      <c r="D115" s="118" t="s">
        <v>46</v>
      </c>
      <c r="E115" s="252" t="s">
        <v>710</v>
      </c>
      <c r="F115" s="252">
        <v>52</v>
      </c>
      <c r="G115" s="252"/>
      <c r="H115" s="252" t="s">
        <v>711</v>
      </c>
      <c r="I115" s="252" t="s">
        <v>708</v>
      </c>
      <c r="J115" s="252" t="s">
        <v>95</v>
      </c>
      <c r="K115" s="252" t="s">
        <v>58</v>
      </c>
      <c r="L115" s="252" t="s">
        <v>59</v>
      </c>
    </row>
    <row r="116" spans="1:12" hidden="1">
      <c r="A116" s="252">
        <v>663</v>
      </c>
      <c r="B116" s="252" t="s">
        <v>712</v>
      </c>
      <c r="C116" s="252" t="s">
        <v>713</v>
      </c>
      <c r="D116" s="118" t="s">
        <v>91</v>
      </c>
      <c r="E116" s="252" t="s">
        <v>714</v>
      </c>
      <c r="F116" s="252">
        <v>1300</v>
      </c>
      <c r="G116" s="252" t="s">
        <v>715</v>
      </c>
      <c r="H116" s="252" t="s">
        <v>716</v>
      </c>
      <c r="I116" s="252" t="s">
        <v>717</v>
      </c>
      <c r="J116" s="252" t="s">
        <v>309</v>
      </c>
      <c r="K116" s="252" t="s">
        <v>314</v>
      </c>
      <c r="L116" s="252" t="s">
        <v>195</v>
      </c>
    </row>
    <row r="117" spans="1:12" hidden="1">
      <c r="A117" s="252">
        <v>664</v>
      </c>
      <c r="B117" s="252" t="s">
        <v>718</v>
      </c>
      <c r="C117" s="252" t="s">
        <v>719</v>
      </c>
      <c r="D117" s="118" t="s">
        <v>46</v>
      </c>
      <c r="E117" s="252" t="s">
        <v>720</v>
      </c>
      <c r="F117" s="252">
        <v>313</v>
      </c>
      <c r="G117" s="252"/>
      <c r="H117" s="252" t="s">
        <v>721</v>
      </c>
      <c r="I117" s="252" t="s">
        <v>57</v>
      </c>
      <c r="J117" s="252" t="s">
        <v>718</v>
      </c>
      <c r="K117" s="252" t="s">
        <v>88</v>
      </c>
      <c r="L117" s="252" t="s">
        <v>51</v>
      </c>
    </row>
    <row r="118" spans="1:12" hidden="1">
      <c r="A118" s="252">
        <v>665</v>
      </c>
      <c r="B118" s="252" t="s">
        <v>722</v>
      </c>
      <c r="C118" s="252" t="s">
        <v>723</v>
      </c>
      <c r="D118" s="118" t="s">
        <v>46</v>
      </c>
      <c r="E118" s="252" t="s">
        <v>724</v>
      </c>
      <c r="F118" s="252">
        <v>16</v>
      </c>
      <c r="G118" s="252"/>
      <c r="H118" s="252" t="s">
        <v>725</v>
      </c>
      <c r="I118" s="252" t="s">
        <v>57</v>
      </c>
      <c r="J118" s="252" t="s">
        <v>722</v>
      </c>
      <c r="K118" s="252" t="s">
        <v>58</v>
      </c>
      <c r="L118" s="252" t="s">
        <v>59</v>
      </c>
    </row>
    <row r="119" spans="1:12" hidden="1">
      <c r="A119" s="252">
        <v>667</v>
      </c>
      <c r="B119" s="252" t="s">
        <v>726</v>
      </c>
      <c r="C119" s="252" t="s">
        <v>727</v>
      </c>
      <c r="D119" s="118" t="s">
        <v>91</v>
      </c>
      <c r="E119" s="252" t="s">
        <v>728</v>
      </c>
      <c r="F119" s="252">
        <v>5</v>
      </c>
      <c r="G119" s="252" t="s">
        <v>729</v>
      </c>
      <c r="H119" s="252" t="s">
        <v>730</v>
      </c>
      <c r="I119" s="252" t="s">
        <v>57</v>
      </c>
      <c r="J119" s="252" t="s">
        <v>731</v>
      </c>
      <c r="K119" s="252" t="s">
        <v>251</v>
      </c>
      <c r="L119" s="252" t="s">
        <v>59</v>
      </c>
    </row>
    <row r="120" spans="1:12" hidden="1">
      <c r="A120" s="252">
        <v>671</v>
      </c>
      <c r="B120" s="252" t="s">
        <v>732</v>
      </c>
      <c r="C120" s="252" t="s">
        <v>733</v>
      </c>
      <c r="D120" s="118" t="s">
        <v>46</v>
      </c>
      <c r="E120" s="252" t="s">
        <v>734</v>
      </c>
      <c r="F120" s="252">
        <v>844</v>
      </c>
      <c r="G120" s="252" t="s">
        <v>735</v>
      </c>
      <c r="H120" s="252" t="s">
        <v>736</v>
      </c>
      <c r="I120" s="252" t="s">
        <v>737</v>
      </c>
      <c r="J120" s="252" t="s">
        <v>732</v>
      </c>
      <c r="K120" s="252" t="s">
        <v>159</v>
      </c>
      <c r="L120" s="252" t="s">
        <v>130</v>
      </c>
    </row>
    <row r="121" spans="1:12" hidden="1">
      <c r="A121" s="252">
        <v>672</v>
      </c>
      <c r="B121" s="252" t="s">
        <v>738</v>
      </c>
      <c r="C121" s="252" t="s">
        <v>739</v>
      </c>
      <c r="D121" s="118" t="s">
        <v>91</v>
      </c>
      <c r="E121" s="252" t="s">
        <v>740</v>
      </c>
      <c r="F121" s="252">
        <v>2400</v>
      </c>
      <c r="G121" s="252" t="s">
        <v>741</v>
      </c>
      <c r="H121" s="252" t="s">
        <v>742</v>
      </c>
      <c r="I121" s="252" t="s">
        <v>743</v>
      </c>
      <c r="J121" s="252" t="s">
        <v>744</v>
      </c>
      <c r="K121" s="252" t="s">
        <v>58</v>
      </c>
      <c r="L121" s="252" t="s">
        <v>59</v>
      </c>
    </row>
    <row r="122" spans="1:12" hidden="1">
      <c r="A122" s="252">
        <v>674</v>
      </c>
      <c r="B122" s="252" t="s">
        <v>745</v>
      </c>
      <c r="C122" s="252" t="s">
        <v>746</v>
      </c>
      <c r="D122" s="118" t="s">
        <v>91</v>
      </c>
      <c r="E122" s="252" t="s">
        <v>747</v>
      </c>
      <c r="F122" s="252">
        <v>55</v>
      </c>
      <c r="G122" s="252" t="s">
        <v>748</v>
      </c>
      <c r="H122" s="252" t="s">
        <v>749</v>
      </c>
      <c r="I122" s="252" t="s">
        <v>750</v>
      </c>
      <c r="J122" s="252" t="s">
        <v>751</v>
      </c>
      <c r="K122" s="252" t="s">
        <v>58</v>
      </c>
      <c r="L122" s="252" t="s">
        <v>59</v>
      </c>
    </row>
    <row r="123" spans="1:12" hidden="1">
      <c r="A123" s="252">
        <v>675</v>
      </c>
      <c r="B123" s="252" t="s">
        <v>752</v>
      </c>
      <c r="C123" s="252" t="s">
        <v>753</v>
      </c>
      <c r="D123" s="118" t="s">
        <v>46</v>
      </c>
      <c r="E123" s="252" t="s">
        <v>754</v>
      </c>
      <c r="F123" s="252">
        <v>659</v>
      </c>
      <c r="G123" s="252" t="s">
        <v>755</v>
      </c>
      <c r="H123" s="252" t="s">
        <v>756</v>
      </c>
      <c r="I123" s="252" t="s">
        <v>57</v>
      </c>
      <c r="J123" s="252" t="s">
        <v>752</v>
      </c>
      <c r="K123" s="252" t="s">
        <v>50</v>
      </c>
      <c r="L123" s="252" t="s">
        <v>51</v>
      </c>
    </row>
    <row r="124" spans="1:12" hidden="1">
      <c r="A124" s="252">
        <v>676</v>
      </c>
      <c r="B124" s="252" t="s">
        <v>757</v>
      </c>
      <c r="C124" s="252" t="s">
        <v>758</v>
      </c>
      <c r="D124" s="118" t="s">
        <v>91</v>
      </c>
      <c r="E124" s="252" t="s">
        <v>759</v>
      </c>
      <c r="F124" s="252">
        <v>355</v>
      </c>
      <c r="G124" s="252" t="s">
        <v>760</v>
      </c>
      <c r="H124" s="252" t="s">
        <v>761</v>
      </c>
      <c r="I124" s="252" t="s">
        <v>57</v>
      </c>
      <c r="J124" s="252" t="s">
        <v>762</v>
      </c>
      <c r="K124" s="252" t="s">
        <v>50</v>
      </c>
      <c r="L124" s="252" t="s">
        <v>51</v>
      </c>
    </row>
    <row r="125" spans="1:12" hidden="1">
      <c r="A125" s="252">
        <v>677</v>
      </c>
      <c r="B125" s="252" t="s">
        <v>763</v>
      </c>
      <c r="C125" s="252" t="s">
        <v>764</v>
      </c>
      <c r="D125" s="118" t="s">
        <v>91</v>
      </c>
      <c r="E125" s="252" t="s">
        <v>765</v>
      </c>
      <c r="F125" s="252">
        <v>8</v>
      </c>
      <c r="G125" s="252" t="s">
        <v>766</v>
      </c>
      <c r="H125" s="252" t="s">
        <v>767</v>
      </c>
      <c r="I125" s="252" t="s">
        <v>768</v>
      </c>
      <c r="J125" s="252" t="s">
        <v>76</v>
      </c>
      <c r="K125" s="252" t="s">
        <v>77</v>
      </c>
      <c r="L125" s="252" t="s">
        <v>65</v>
      </c>
    </row>
    <row r="126" spans="1:12" hidden="1">
      <c r="A126" s="252">
        <v>678</v>
      </c>
      <c r="B126" s="252" t="s">
        <v>769</v>
      </c>
      <c r="C126" s="252" t="s">
        <v>770</v>
      </c>
      <c r="D126" s="118" t="s">
        <v>91</v>
      </c>
      <c r="E126" s="252" t="s">
        <v>771</v>
      </c>
      <c r="F126" s="252">
        <v>0</v>
      </c>
      <c r="G126" s="252" t="s">
        <v>772</v>
      </c>
      <c r="H126" s="252" t="s">
        <v>773</v>
      </c>
      <c r="I126" s="252" t="s">
        <v>774</v>
      </c>
      <c r="J126" s="252" t="s">
        <v>775</v>
      </c>
      <c r="K126" s="252" t="s">
        <v>159</v>
      </c>
      <c r="L126" s="252" t="s">
        <v>130</v>
      </c>
    </row>
    <row r="127" spans="1:12" hidden="1">
      <c r="A127" s="252">
        <v>679</v>
      </c>
      <c r="B127" s="252" t="s">
        <v>776</v>
      </c>
      <c r="C127" s="252" t="s">
        <v>777</v>
      </c>
      <c r="D127" s="118" t="s">
        <v>46</v>
      </c>
      <c r="E127" s="252" t="s">
        <v>202</v>
      </c>
      <c r="F127" s="252">
        <v>637</v>
      </c>
      <c r="G127" s="252"/>
      <c r="H127" s="252" t="s">
        <v>778</v>
      </c>
      <c r="I127" s="252" t="s">
        <v>57</v>
      </c>
      <c r="J127" s="252" t="s">
        <v>776</v>
      </c>
      <c r="K127" s="252" t="s">
        <v>77</v>
      </c>
      <c r="L127" s="252" t="s">
        <v>65</v>
      </c>
    </row>
    <row r="128" spans="1:12" hidden="1">
      <c r="A128" s="252">
        <v>680</v>
      </c>
      <c r="B128" s="252" t="s">
        <v>779</v>
      </c>
      <c r="C128" s="252" t="s">
        <v>780</v>
      </c>
      <c r="D128" s="118" t="s">
        <v>91</v>
      </c>
      <c r="E128" s="252" t="s">
        <v>781</v>
      </c>
      <c r="F128" s="252">
        <v>14404</v>
      </c>
      <c r="G128" s="252" t="s">
        <v>782</v>
      </c>
      <c r="H128" s="252" t="s">
        <v>783</v>
      </c>
      <c r="I128" s="252" t="s">
        <v>784</v>
      </c>
      <c r="J128" s="252" t="s">
        <v>158</v>
      </c>
      <c r="K128" s="252" t="s">
        <v>159</v>
      </c>
      <c r="L128" s="252" t="s">
        <v>130</v>
      </c>
    </row>
    <row r="129" spans="1:12" hidden="1">
      <c r="A129" s="252">
        <v>681</v>
      </c>
      <c r="B129" s="252" t="s">
        <v>785</v>
      </c>
      <c r="C129" s="252" t="s">
        <v>786</v>
      </c>
      <c r="D129" s="118" t="s">
        <v>91</v>
      </c>
      <c r="E129" s="252" t="s">
        <v>787</v>
      </c>
      <c r="F129" s="252">
        <v>0</v>
      </c>
      <c r="G129" s="252" t="s">
        <v>788</v>
      </c>
      <c r="H129" s="252" t="s">
        <v>789</v>
      </c>
      <c r="I129" s="252" t="s">
        <v>790</v>
      </c>
      <c r="J129" s="252" t="s">
        <v>791</v>
      </c>
      <c r="K129" s="252" t="s">
        <v>792</v>
      </c>
      <c r="L129" s="252" t="s">
        <v>195</v>
      </c>
    </row>
    <row r="130" spans="1:12" hidden="1">
      <c r="A130" s="252">
        <v>682</v>
      </c>
      <c r="B130" s="252" t="s">
        <v>793</v>
      </c>
      <c r="C130" s="252" t="s">
        <v>794</v>
      </c>
      <c r="D130" s="118" t="s">
        <v>91</v>
      </c>
      <c r="E130" s="252" t="s">
        <v>795</v>
      </c>
      <c r="F130" s="252">
        <v>777</v>
      </c>
      <c r="G130" s="252" t="s">
        <v>796</v>
      </c>
      <c r="H130" s="252" t="s">
        <v>797</v>
      </c>
      <c r="I130" s="252" t="s">
        <v>798</v>
      </c>
      <c r="J130" s="252" t="s">
        <v>799</v>
      </c>
      <c r="K130" s="252" t="s">
        <v>58</v>
      </c>
      <c r="L130" s="252" t="s">
        <v>59</v>
      </c>
    </row>
    <row r="131" spans="1:12" hidden="1">
      <c r="A131" s="252">
        <v>684</v>
      </c>
      <c r="B131" s="252" t="s">
        <v>800</v>
      </c>
      <c r="C131" s="252" t="s">
        <v>801</v>
      </c>
      <c r="D131" s="118" t="s">
        <v>91</v>
      </c>
      <c r="E131" s="252" t="s">
        <v>802</v>
      </c>
      <c r="F131" s="252">
        <v>0</v>
      </c>
      <c r="G131" s="252" t="s">
        <v>803</v>
      </c>
      <c r="H131" s="252" t="s">
        <v>804</v>
      </c>
      <c r="I131" s="252" t="s">
        <v>805</v>
      </c>
      <c r="J131" s="252" t="s">
        <v>128</v>
      </c>
      <c r="K131" s="252" t="s">
        <v>129</v>
      </c>
      <c r="L131" s="252" t="s">
        <v>130</v>
      </c>
    </row>
    <row r="132" spans="1:12" hidden="1">
      <c r="A132" s="252">
        <v>685</v>
      </c>
      <c r="B132" s="252" t="s">
        <v>806</v>
      </c>
      <c r="C132" s="252" t="s">
        <v>807</v>
      </c>
      <c r="D132" s="118" t="s">
        <v>91</v>
      </c>
      <c r="E132" s="252" t="s">
        <v>808</v>
      </c>
      <c r="F132" s="252">
        <v>2801</v>
      </c>
      <c r="G132" s="252" t="s">
        <v>809</v>
      </c>
      <c r="H132" s="252" t="s">
        <v>810</v>
      </c>
      <c r="I132" s="252" t="s">
        <v>811</v>
      </c>
      <c r="J132" s="252" t="s">
        <v>812</v>
      </c>
      <c r="K132" s="252" t="s">
        <v>251</v>
      </c>
      <c r="L132" s="252" t="s">
        <v>59</v>
      </c>
    </row>
    <row r="133" spans="1:12" hidden="1">
      <c r="A133" s="252">
        <v>686</v>
      </c>
      <c r="B133" s="252" t="s">
        <v>813</v>
      </c>
      <c r="C133" s="252" t="s">
        <v>814</v>
      </c>
      <c r="D133" s="118" t="s">
        <v>91</v>
      </c>
      <c r="E133" s="252" t="s">
        <v>579</v>
      </c>
      <c r="F133" s="252">
        <v>2611</v>
      </c>
      <c r="G133" s="252" t="s">
        <v>815</v>
      </c>
      <c r="H133" s="252" t="s">
        <v>816</v>
      </c>
      <c r="I133" s="252" t="s">
        <v>817</v>
      </c>
      <c r="J133" s="252" t="s">
        <v>49</v>
      </c>
      <c r="K133" s="252" t="s">
        <v>50</v>
      </c>
      <c r="L133" s="252" t="s">
        <v>51</v>
      </c>
    </row>
    <row r="134" spans="1:12" hidden="1">
      <c r="A134" s="252">
        <v>687</v>
      </c>
      <c r="B134" s="252" t="s">
        <v>818</v>
      </c>
      <c r="C134" s="252" t="s">
        <v>819</v>
      </c>
      <c r="D134" s="118" t="s">
        <v>91</v>
      </c>
      <c r="E134" s="252" t="s">
        <v>820</v>
      </c>
      <c r="F134" s="252">
        <v>1331</v>
      </c>
      <c r="G134" s="252" t="s">
        <v>821</v>
      </c>
      <c r="H134" s="252" t="s">
        <v>822</v>
      </c>
      <c r="I134" s="252" t="s">
        <v>823</v>
      </c>
      <c r="J134" s="252" t="s">
        <v>824</v>
      </c>
      <c r="K134" s="252" t="s">
        <v>251</v>
      </c>
      <c r="L134" s="252" t="s">
        <v>59</v>
      </c>
    </row>
    <row r="135" spans="1:12" hidden="1">
      <c r="A135" s="252">
        <v>688</v>
      </c>
      <c r="B135" s="252" t="s">
        <v>825</v>
      </c>
      <c r="C135" s="252" t="s">
        <v>826</v>
      </c>
      <c r="D135" s="118" t="s">
        <v>91</v>
      </c>
      <c r="E135" s="252" t="s">
        <v>827</v>
      </c>
      <c r="F135" s="252">
        <v>2300</v>
      </c>
      <c r="G135" s="252" t="s">
        <v>828</v>
      </c>
      <c r="H135" s="252" t="s">
        <v>829</v>
      </c>
      <c r="I135" s="252" t="s">
        <v>136</v>
      </c>
      <c r="J135" s="252" t="s">
        <v>94</v>
      </c>
      <c r="K135" s="252" t="s">
        <v>446</v>
      </c>
      <c r="L135" s="252" t="s">
        <v>130</v>
      </c>
    </row>
    <row r="136" spans="1:12" hidden="1">
      <c r="A136" s="252">
        <v>689</v>
      </c>
      <c r="B136" s="252" t="s">
        <v>830</v>
      </c>
      <c r="C136" s="252" t="s">
        <v>831</v>
      </c>
      <c r="D136" s="118" t="s">
        <v>91</v>
      </c>
      <c r="E136" s="252" t="s">
        <v>832</v>
      </c>
      <c r="F136" s="252">
        <v>0</v>
      </c>
      <c r="G136" s="252" t="s">
        <v>833</v>
      </c>
      <c r="H136" s="252" t="s">
        <v>834</v>
      </c>
      <c r="I136" s="252" t="s">
        <v>835</v>
      </c>
      <c r="J136" s="252" t="s">
        <v>95</v>
      </c>
      <c r="K136" s="252" t="s">
        <v>58</v>
      </c>
      <c r="L136" s="252" t="s">
        <v>59</v>
      </c>
    </row>
    <row r="137" spans="1:12" hidden="1">
      <c r="A137" s="252">
        <v>696</v>
      </c>
      <c r="B137" s="252" t="s">
        <v>836</v>
      </c>
      <c r="C137" s="252" t="s">
        <v>837</v>
      </c>
      <c r="D137" s="118" t="s">
        <v>91</v>
      </c>
      <c r="E137" s="252" t="s">
        <v>838</v>
      </c>
      <c r="F137" s="252">
        <v>270</v>
      </c>
      <c r="G137" s="252" t="s">
        <v>839</v>
      </c>
      <c r="H137" s="252" t="s">
        <v>840</v>
      </c>
      <c r="I137" s="252" t="s">
        <v>841</v>
      </c>
      <c r="J137" s="252" t="s">
        <v>842</v>
      </c>
      <c r="K137" s="252" t="s">
        <v>88</v>
      </c>
      <c r="L137" s="252" t="s">
        <v>51</v>
      </c>
    </row>
    <row r="138" spans="1:12" hidden="1">
      <c r="A138" s="252">
        <v>698</v>
      </c>
      <c r="B138" s="252" t="s">
        <v>843</v>
      </c>
      <c r="C138" s="252" t="s">
        <v>844</v>
      </c>
      <c r="D138" s="118" t="s">
        <v>91</v>
      </c>
      <c r="E138" s="252" t="s">
        <v>845</v>
      </c>
      <c r="F138" s="252">
        <v>733</v>
      </c>
      <c r="G138" s="252" t="s">
        <v>846</v>
      </c>
      <c r="H138" s="252" t="s">
        <v>847</v>
      </c>
      <c r="I138" s="252" t="s">
        <v>57</v>
      </c>
      <c r="J138" s="252" t="s">
        <v>848</v>
      </c>
      <c r="K138" s="252" t="s">
        <v>58</v>
      </c>
      <c r="L138" s="252" t="s">
        <v>59</v>
      </c>
    </row>
    <row r="139" spans="1:12" hidden="1">
      <c r="A139" s="252">
        <v>699</v>
      </c>
      <c r="B139" s="252" t="s">
        <v>849</v>
      </c>
      <c r="C139" s="252" t="s">
        <v>850</v>
      </c>
      <c r="D139" s="118" t="s">
        <v>91</v>
      </c>
      <c r="E139" s="252" t="s">
        <v>851</v>
      </c>
      <c r="F139" s="252">
        <v>305</v>
      </c>
      <c r="G139" s="252" t="s">
        <v>852</v>
      </c>
      <c r="H139" s="252" t="s">
        <v>853</v>
      </c>
      <c r="I139" s="252" t="s">
        <v>57</v>
      </c>
      <c r="J139" s="252" t="s">
        <v>854</v>
      </c>
      <c r="K139" s="252" t="s">
        <v>50</v>
      </c>
      <c r="L139" s="252" t="s">
        <v>51</v>
      </c>
    </row>
    <row r="140" spans="1:12" hidden="1">
      <c r="A140" s="252">
        <v>700</v>
      </c>
      <c r="B140" s="252" t="s">
        <v>855</v>
      </c>
      <c r="C140" s="252" t="s">
        <v>856</v>
      </c>
      <c r="D140" s="118" t="s">
        <v>46</v>
      </c>
      <c r="E140" s="252" t="s">
        <v>855</v>
      </c>
      <c r="F140" s="252">
        <v>412</v>
      </c>
      <c r="G140" s="252" t="s">
        <v>857</v>
      </c>
      <c r="H140" s="252" t="s">
        <v>858</v>
      </c>
      <c r="I140" s="252" t="s">
        <v>859</v>
      </c>
      <c r="J140" s="252" t="s">
        <v>95</v>
      </c>
      <c r="K140" s="252" t="s">
        <v>58</v>
      </c>
      <c r="L140" s="252" t="s">
        <v>59</v>
      </c>
    </row>
    <row r="141" spans="1:12" hidden="1">
      <c r="A141" s="252">
        <v>709</v>
      </c>
      <c r="B141" s="252" t="s">
        <v>860</v>
      </c>
      <c r="C141" s="252" t="s">
        <v>861</v>
      </c>
      <c r="D141" s="118" t="s">
        <v>91</v>
      </c>
      <c r="E141" s="252" t="s">
        <v>862</v>
      </c>
      <c r="F141" s="252">
        <v>4300</v>
      </c>
      <c r="G141" s="252" t="s">
        <v>863</v>
      </c>
      <c r="H141" s="252" t="s">
        <v>864</v>
      </c>
      <c r="I141" s="252" t="s">
        <v>865</v>
      </c>
      <c r="J141" s="252" t="s">
        <v>327</v>
      </c>
      <c r="K141" s="252" t="s">
        <v>328</v>
      </c>
      <c r="L141" s="252" t="s">
        <v>195</v>
      </c>
    </row>
    <row r="142" spans="1:12" hidden="1">
      <c r="A142" s="252">
        <v>711</v>
      </c>
      <c r="B142" s="252" t="s">
        <v>866</v>
      </c>
      <c r="C142" s="252" t="s">
        <v>867</v>
      </c>
      <c r="D142" s="118" t="s">
        <v>91</v>
      </c>
      <c r="E142" s="252" t="s">
        <v>868</v>
      </c>
      <c r="F142" s="252">
        <v>1200</v>
      </c>
      <c r="G142" s="252" t="s">
        <v>869</v>
      </c>
      <c r="H142" s="252" t="s">
        <v>870</v>
      </c>
      <c r="I142" s="252" t="s">
        <v>871</v>
      </c>
      <c r="J142" s="252" t="s">
        <v>872</v>
      </c>
      <c r="K142" s="252" t="s">
        <v>58</v>
      </c>
      <c r="L142" s="252" t="s">
        <v>59</v>
      </c>
    </row>
    <row r="143" spans="1:12" hidden="1">
      <c r="A143" s="252">
        <v>712</v>
      </c>
      <c r="B143" s="252" t="s">
        <v>232</v>
      </c>
      <c r="C143" s="252" t="s">
        <v>873</v>
      </c>
      <c r="D143" s="118" t="s">
        <v>46</v>
      </c>
      <c r="E143" s="252" t="s">
        <v>874</v>
      </c>
      <c r="F143" s="252">
        <v>271</v>
      </c>
      <c r="G143" s="252">
        <v>281.28500000000003</v>
      </c>
      <c r="H143" s="252" t="s">
        <v>875</v>
      </c>
      <c r="I143" s="252" t="s">
        <v>57</v>
      </c>
      <c r="J143" s="252" t="s">
        <v>232</v>
      </c>
      <c r="K143" s="252" t="s">
        <v>50</v>
      </c>
      <c r="L143" s="252" t="s">
        <v>51</v>
      </c>
    </row>
    <row r="144" spans="1:12" hidden="1">
      <c r="A144" s="252">
        <v>715</v>
      </c>
      <c r="B144" s="252" t="s">
        <v>876</v>
      </c>
      <c r="C144" s="252" t="s">
        <v>877</v>
      </c>
      <c r="D144" s="118" t="s">
        <v>46</v>
      </c>
      <c r="E144" s="252" t="s">
        <v>878</v>
      </c>
      <c r="F144" s="252">
        <v>293</v>
      </c>
      <c r="G144" s="252"/>
      <c r="H144" s="252" t="s">
        <v>879</v>
      </c>
      <c r="I144" s="252" t="s">
        <v>57</v>
      </c>
      <c r="J144" s="252" t="s">
        <v>876</v>
      </c>
      <c r="K144" s="252" t="s">
        <v>88</v>
      </c>
      <c r="L144" s="252" t="s">
        <v>51</v>
      </c>
    </row>
    <row r="145" spans="1:13" hidden="1">
      <c r="A145" s="252">
        <v>717</v>
      </c>
      <c r="B145" s="252" t="s">
        <v>880</v>
      </c>
      <c r="C145" s="252" t="s">
        <v>881</v>
      </c>
      <c r="D145" s="118" t="s">
        <v>91</v>
      </c>
      <c r="E145" s="252" t="s">
        <v>882</v>
      </c>
      <c r="F145" s="252">
        <v>280</v>
      </c>
      <c r="G145" s="252" t="s">
        <v>883</v>
      </c>
      <c r="H145" s="252" t="s">
        <v>884</v>
      </c>
      <c r="I145" s="252" t="s">
        <v>57</v>
      </c>
      <c r="J145" s="252" t="s">
        <v>885</v>
      </c>
      <c r="K145" s="252" t="s">
        <v>58</v>
      </c>
      <c r="L145" s="252" t="s">
        <v>59</v>
      </c>
    </row>
    <row r="146" spans="1:13" hidden="1">
      <c r="A146" s="252">
        <v>719</v>
      </c>
      <c r="B146" s="252" t="s">
        <v>886</v>
      </c>
      <c r="C146" s="252" t="s">
        <v>887</v>
      </c>
      <c r="D146" s="118" t="s">
        <v>46</v>
      </c>
      <c r="E146" s="252" t="s">
        <v>888</v>
      </c>
      <c r="F146" s="252">
        <v>78</v>
      </c>
      <c r="G146" s="252" t="s">
        <v>889</v>
      </c>
      <c r="H146" s="252" t="s">
        <v>890</v>
      </c>
      <c r="I146" s="252" t="s">
        <v>57</v>
      </c>
      <c r="J146" s="252" t="s">
        <v>886</v>
      </c>
      <c r="K146" s="252" t="s">
        <v>308</v>
      </c>
      <c r="L146" s="252" t="s">
        <v>65</v>
      </c>
    </row>
    <row r="147" spans="1:13" hidden="1">
      <c r="A147" s="300">
        <v>721</v>
      </c>
      <c r="B147" s="300" t="s">
        <v>891</v>
      </c>
      <c r="C147" s="300" t="s">
        <v>892</v>
      </c>
      <c r="D147" s="301" t="s">
        <v>91</v>
      </c>
      <c r="E147" s="300" t="s">
        <v>893</v>
      </c>
      <c r="F147" s="300">
        <v>240</v>
      </c>
      <c r="G147" s="300" t="s">
        <v>894</v>
      </c>
      <c r="H147" s="300" t="s">
        <v>895</v>
      </c>
      <c r="I147" s="300" t="s">
        <v>896</v>
      </c>
      <c r="J147" s="300" t="s">
        <v>119</v>
      </c>
      <c r="K147" s="300" t="s">
        <v>120</v>
      </c>
      <c r="L147" s="300" t="s">
        <v>59</v>
      </c>
      <c r="M147" t="s">
        <v>271</v>
      </c>
    </row>
    <row r="148" spans="1:13" hidden="1">
      <c r="A148" s="252">
        <v>723</v>
      </c>
      <c r="B148" s="252" t="s">
        <v>897</v>
      </c>
      <c r="C148" s="252" t="s">
        <v>898</v>
      </c>
      <c r="D148" s="118" t="s">
        <v>91</v>
      </c>
      <c r="E148" s="252" t="s">
        <v>899</v>
      </c>
      <c r="F148" s="252">
        <v>1400</v>
      </c>
      <c r="G148" s="252" t="s">
        <v>900</v>
      </c>
      <c r="H148" s="252" t="s">
        <v>901</v>
      </c>
      <c r="I148" s="252" t="s">
        <v>902</v>
      </c>
      <c r="J148" s="252" t="s">
        <v>903</v>
      </c>
      <c r="K148" s="252" t="s">
        <v>58</v>
      </c>
      <c r="L148" s="252" t="s">
        <v>59</v>
      </c>
    </row>
    <row r="149" spans="1:13" hidden="1">
      <c r="A149" s="252">
        <v>725</v>
      </c>
      <c r="B149" s="252" t="s">
        <v>904</v>
      </c>
      <c r="C149" s="252" t="s">
        <v>905</v>
      </c>
      <c r="D149" s="118" t="s">
        <v>46</v>
      </c>
      <c r="E149" s="252" t="s">
        <v>906</v>
      </c>
      <c r="F149" s="252">
        <v>1684</v>
      </c>
      <c r="G149" s="252"/>
      <c r="H149" s="252" t="s">
        <v>907</v>
      </c>
      <c r="I149" s="252" t="s">
        <v>904</v>
      </c>
      <c r="J149" s="252" t="s">
        <v>250</v>
      </c>
      <c r="K149" s="252" t="s">
        <v>251</v>
      </c>
      <c r="L149" s="252" t="s">
        <v>59</v>
      </c>
    </row>
    <row r="150" spans="1:13" hidden="1">
      <c r="A150" s="252">
        <v>726</v>
      </c>
      <c r="B150" s="252" t="s">
        <v>908</v>
      </c>
      <c r="C150" s="252" t="s">
        <v>909</v>
      </c>
      <c r="D150" s="118" t="s">
        <v>46</v>
      </c>
      <c r="E150" s="252" t="s">
        <v>910</v>
      </c>
      <c r="F150" s="252">
        <v>1250</v>
      </c>
      <c r="G150" s="252"/>
      <c r="H150" s="252" t="s">
        <v>911</v>
      </c>
      <c r="I150" s="252" t="s">
        <v>908</v>
      </c>
      <c r="J150" s="252" t="s">
        <v>95</v>
      </c>
      <c r="K150" s="252" t="s">
        <v>58</v>
      </c>
      <c r="L150" s="252" t="s">
        <v>59</v>
      </c>
    </row>
    <row r="151" spans="1:13" hidden="1">
      <c r="A151" s="252">
        <v>727</v>
      </c>
      <c r="B151" s="252" t="s">
        <v>912</v>
      </c>
      <c r="C151" s="252" t="s">
        <v>913</v>
      </c>
      <c r="D151" s="118" t="s">
        <v>91</v>
      </c>
      <c r="E151" s="252" t="s">
        <v>914</v>
      </c>
      <c r="F151" s="252">
        <v>305</v>
      </c>
      <c r="G151" s="252" t="s">
        <v>915</v>
      </c>
      <c r="H151" s="252" t="s">
        <v>916</v>
      </c>
      <c r="I151" s="252" t="s">
        <v>917</v>
      </c>
      <c r="J151" s="252" t="s">
        <v>918</v>
      </c>
      <c r="K151" s="252" t="s">
        <v>459</v>
      </c>
      <c r="L151" s="252" t="s">
        <v>65</v>
      </c>
    </row>
    <row r="152" spans="1:13" hidden="1">
      <c r="A152" s="252">
        <v>729</v>
      </c>
      <c r="B152" s="252" t="s">
        <v>919</v>
      </c>
      <c r="C152" s="252" t="s">
        <v>920</v>
      </c>
      <c r="D152" s="118" t="s">
        <v>91</v>
      </c>
      <c r="E152" s="252" t="s">
        <v>921</v>
      </c>
      <c r="F152" s="252">
        <v>180</v>
      </c>
      <c r="G152" s="252" t="s">
        <v>922</v>
      </c>
      <c r="H152" s="252" t="s">
        <v>923</v>
      </c>
      <c r="I152" s="252" t="s">
        <v>924</v>
      </c>
      <c r="J152" s="252" t="s">
        <v>925</v>
      </c>
      <c r="K152" s="252" t="s">
        <v>251</v>
      </c>
      <c r="L152" s="252" t="s">
        <v>59</v>
      </c>
    </row>
    <row r="153" spans="1:13" hidden="1">
      <c r="A153" s="252">
        <v>730</v>
      </c>
      <c r="B153" s="252" t="s">
        <v>926</v>
      </c>
      <c r="C153" s="252" t="s">
        <v>927</v>
      </c>
      <c r="D153" s="118" t="s">
        <v>46</v>
      </c>
      <c r="E153" s="252" t="s">
        <v>928</v>
      </c>
      <c r="F153" s="252">
        <v>1459</v>
      </c>
      <c r="G153" s="252"/>
      <c r="H153" s="252" t="s">
        <v>929</v>
      </c>
      <c r="I153" s="252" t="s">
        <v>930</v>
      </c>
      <c r="J153" s="252" t="s">
        <v>49</v>
      </c>
      <c r="K153" s="252" t="s">
        <v>50</v>
      </c>
      <c r="L153" s="252" t="s">
        <v>51</v>
      </c>
    </row>
    <row r="154" spans="1:13" hidden="1">
      <c r="A154" s="252">
        <v>731</v>
      </c>
      <c r="B154" s="252" t="s">
        <v>931</v>
      </c>
      <c r="C154" s="252" t="s">
        <v>932</v>
      </c>
      <c r="D154" s="118" t="s">
        <v>91</v>
      </c>
      <c r="E154" s="252" t="s">
        <v>933</v>
      </c>
      <c r="F154" s="252">
        <v>22540</v>
      </c>
      <c r="G154" s="252" t="s">
        <v>934</v>
      </c>
      <c r="H154" s="252" t="s">
        <v>935</v>
      </c>
      <c r="I154" s="252" t="s">
        <v>871</v>
      </c>
      <c r="J154" s="252" t="s">
        <v>95</v>
      </c>
      <c r="K154" s="252" t="s">
        <v>58</v>
      </c>
      <c r="L154" s="252" t="s">
        <v>59</v>
      </c>
    </row>
    <row r="155" spans="1:13" hidden="1">
      <c r="A155" s="252">
        <v>732</v>
      </c>
      <c r="B155" s="252" t="s">
        <v>466</v>
      </c>
      <c r="C155" s="252" t="s">
        <v>936</v>
      </c>
      <c r="D155" s="118" t="s">
        <v>46</v>
      </c>
      <c r="E155" s="252" t="s">
        <v>937</v>
      </c>
      <c r="F155" s="252">
        <v>770</v>
      </c>
      <c r="G155" s="252" t="s">
        <v>938</v>
      </c>
      <c r="H155" s="252" t="s">
        <v>939</v>
      </c>
      <c r="I155" s="252" t="s">
        <v>940</v>
      </c>
      <c r="J155" s="252" t="s">
        <v>466</v>
      </c>
      <c r="K155" s="252" t="s">
        <v>112</v>
      </c>
      <c r="L155" s="252" t="s">
        <v>65</v>
      </c>
    </row>
    <row r="156" spans="1:13" hidden="1">
      <c r="A156" s="252">
        <v>733</v>
      </c>
      <c r="B156" s="252" t="s">
        <v>941</v>
      </c>
      <c r="C156" s="252" t="s">
        <v>942</v>
      </c>
      <c r="D156" s="118" t="s">
        <v>46</v>
      </c>
      <c r="E156" s="252" t="s">
        <v>943</v>
      </c>
      <c r="F156" s="252">
        <v>652</v>
      </c>
      <c r="G156" s="252" t="s">
        <v>944</v>
      </c>
      <c r="H156" s="252" t="s">
        <v>945</v>
      </c>
      <c r="I156" s="252" t="s">
        <v>57</v>
      </c>
      <c r="J156" s="252" t="s">
        <v>946</v>
      </c>
      <c r="K156" s="252" t="s">
        <v>251</v>
      </c>
      <c r="L156" s="252" t="s">
        <v>59</v>
      </c>
    </row>
    <row r="157" spans="1:13" hidden="1">
      <c r="A157" s="252">
        <v>734</v>
      </c>
      <c r="B157" s="252" t="s">
        <v>947</v>
      </c>
      <c r="C157" s="252" t="s">
        <v>948</v>
      </c>
      <c r="D157" s="118" t="s">
        <v>46</v>
      </c>
      <c r="E157" s="252" t="s">
        <v>949</v>
      </c>
      <c r="F157" s="252">
        <v>2117</v>
      </c>
      <c r="G157" s="252" t="s">
        <v>950</v>
      </c>
      <c r="H157" s="252" t="s">
        <v>951</v>
      </c>
      <c r="I157" s="252" t="s">
        <v>947</v>
      </c>
      <c r="J157" s="252" t="s">
        <v>95</v>
      </c>
      <c r="K157" s="252" t="s">
        <v>58</v>
      </c>
      <c r="L157" s="252" t="s">
        <v>59</v>
      </c>
    </row>
    <row r="158" spans="1:13" hidden="1">
      <c r="A158" s="252">
        <v>737</v>
      </c>
      <c r="B158" s="252" t="s">
        <v>952</v>
      </c>
      <c r="C158" s="252" t="s">
        <v>953</v>
      </c>
      <c r="D158" s="118" t="s">
        <v>91</v>
      </c>
      <c r="E158" s="252" t="s">
        <v>954</v>
      </c>
      <c r="F158" s="252">
        <v>161</v>
      </c>
      <c r="G158" s="252" t="s">
        <v>955</v>
      </c>
      <c r="H158" s="252" t="s">
        <v>956</v>
      </c>
      <c r="I158" s="252" t="s">
        <v>957</v>
      </c>
      <c r="J158" s="252" t="s">
        <v>958</v>
      </c>
      <c r="K158" s="252" t="s">
        <v>58</v>
      </c>
      <c r="L158" s="252" t="s">
        <v>59</v>
      </c>
    </row>
    <row r="159" spans="1:13" hidden="1">
      <c r="A159" s="252">
        <v>741</v>
      </c>
      <c r="B159" s="252" t="s">
        <v>959</v>
      </c>
      <c r="C159" s="252" t="s">
        <v>960</v>
      </c>
      <c r="D159" s="118" t="s">
        <v>91</v>
      </c>
      <c r="E159" s="252" t="s">
        <v>961</v>
      </c>
      <c r="F159" s="252">
        <v>482</v>
      </c>
      <c r="G159" s="252" t="s">
        <v>962</v>
      </c>
      <c r="H159" s="252" t="s">
        <v>963</v>
      </c>
      <c r="I159" s="252" t="s">
        <v>964</v>
      </c>
      <c r="J159" s="252" t="s">
        <v>309</v>
      </c>
      <c r="K159" s="252" t="s">
        <v>314</v>
      </c>
      <c r="L159" s="252" t="s">
        <v>195</v>
      </c>
    </row>
    <row r="160" spans="1:13" hidden="1">
      <c r="A160" s="252">
        <v>742</v>
      </c>
      <c r="B160" s="252" t="s">
        <v>965</v>
      </c>
      <c r="C160" s="252" t="s">
        <v>966</v>
      </c>
      <c r="D160" s="118" t="s">
        <v>46</v>
      </c>
      <c r="E160" s="252" t="s">
        <v>967</v>
      </c>
      <c r="F160" s="252">
        <v>1311</v>
      </c>
      <c r="G160" s="252"/>
      <c r="H160" s="252" t="s">
        <v>968</v>
      </c>
      <c r="I160" s="252" t="s">
        <v>94</v>
      </c>
      <c r="J160" s="252" t="s">
        <v>965</v>
      </c>
      <c r="K160" s="252" t="s">
        <v>969</v>
      </c>
      <c r="L160" s="252" t="s">
        <v>59</v>
      </c>
    </row>
    <row r="161" spans="1:12" hidden="1">
      <c r="A161" s="252">
        <v>744</v>
      </c>
      <c r="B161" s="252" t="s">
        <v>855</v>
      </c>
      <c r="C161" s="252" t="s">
        <v>970</v>
      </c>
      <c r="D161" s="118" t="s">
        <v>46</v>
      </c>
      <c r="E161" s="252" t="s">
        <v>855</v>
      </c>
      <c r="F161" s="252">
        <v>1713</v>
      </c>
      <c r="G161" s="252"/>
      <c r="H161" s="252" t="s">
        <v>971</v>
      </c>
      <c r="I161" s="252" t="s">
        <v>859</v>
      </c>
      <c r="J161" s="252" t="s">
        <v>95</v>
      </c>
      <c r="K161" s="252" t="s">
        <v>58</v>
      </c>
      <c r="L161" s="252" t="s">
        <v>59</v>
      </c>
    </row>
    <row r="162" spans="1:12" hidden="1">
      <c r="A162" s="252">
        <v>745</v>
      </c>
      <c r="B162" s="252" t="s">
        <v>679</v>
      </c>
      <c r="C162" s="252" t="s">
        <v>972</v>
      </c>
      <c r="D162" s="118" t="s">
        <v>46</v>
      </c>
      <c r="E162" s="252" t="s">
        <v>973</v>
      </c>
      <c r="F162" s="252">
        <v>597</v>
      </c>
      <c r="G162" s="252"/>
      <c r="H162" s="252" t="s">
        <v>974</v>
      </c>
      <c r="I162" s="252" t="s">
        <v>57</v>
      </c>
      <c r="J162" s="252" t="s">
        <v>679</v>
      </c>
      <c r="K162" s="252" t="s">
        <v>120</v>
      </c>
      <c r="L162" s="252" t="s">
        <v>59</v>
      </c>
    </row>
    <row r="163" spans="1:12" hidden="1">
      <c r="A163" s="252">
        <v>747</v>
      </c>
      <c r="B163" s="252" t="s">
        <v>975</v>
      </c>
      <c r="C163" s="252" t="s">
        <v>976</v>
      </c>
      <c r="D163" s="118" t="s">
        <v>46</v>
      </c>
      <c r="E163" s="252" t="s">
        <v>977</v>
      </c>
      <c r="F163" s="252">
        <v>206</v>
      </c>
      <c r="G163" s="252"/>
      <c r="H163" s="252" t="s">
        <v>978</v>
      </c>
      <c r="I163" s="252" t="s">
        <v>979</v>
      </c>
      <c r="J163" s="252" t="s">
        <v>166</v>
      </c>
      <c r="K163" s="252" t="s">
        <v>58</v>
      </c>
      <c r="L163" s="252" t="s">
        <v>59</v>
      </c>
    </row>
    <row r="164" spans="1:12" hidden="1">
      <c r="A164" s="252">
        <v>751</v>
      </c>
      <c r="B164" s="252" t="s">
        <v>980</v>
      </c>
      <c r="C164" s="252" t="s">
        <v>981</v>
      </c>
      <c r="D164" s="118" t="s">
        <v>46</v>
      </c>
      <c r="E164" s="252" t="s">
        <v>982</v>
      </c>
      <c r="F164" s="252">
        <v>0</v>
      </c>
      <c r="G164" s="252" t="s">
        <v>983</v>
      </c>
      <c r="H164" s="252" t="s">
        <v>984</v>
      </c>
      <c r="I164" s="252" t="s">
        <v>985</v>
      </c>
      <c r="J164" s="252" t="s">
        <v>128</v>
      </c>
      <c r="K164" s="252" t="s">
        <v>129</v>
      </c>
      <c r="L164" s="252" t="s">
        <v>130</v>
      </c>
    </row>
    <row r="165" spans="1:12" hidden="1">
      <c r="A165" s="252">
        <v>752</v>
      </c>
      <c r="B165" s="252" t="s">
        <v>986</v>
      </c>
      <c r="C165" s="252" t="s">
        <v>987</v>
      </c>
      <c r="D165" s="118" t="s">
        <v>46</v>
      </c>
      <c r="E165" s="252" t="s">
        <v>737</v>
      </c>
      <c r="F165" s="252">
        <v>0</v>
      </c>
      <c r="G165" s="252" t="s">
        <v>988</v>
      </c>
      <c r="H165" s="252" t="s">
        <v>989</v>
      </c>
      <c r="I165" s="252" t="s">
        <v>986</v>
      </c>
      <c r="J165" s="252" t="s">
        <v>128</v>
      </c>
      <c r="K165" s="252" t="s">
        <v>129</v>
      </c>
      <c r="L165" s="252" t="s">
        <v>130</v>
      </c>
    </row>
    <row r="166" spans="1:12" hidden="1">
      <c r="A166" s="252">
        <v>754</v>
      </c>
      <c r="B166" s="252" t="s">
        <v>990</v>
      </c>
      <c r="C166" s="252" t="s">
        <v>991</v>
      </c>
      <c r="D166" s="118" t="s">
        <v>91</v>
      </c>
      <c r="E166" s="252" t="s">
        <v>992</v>
      </c>
      <c r="F166" s="252">
        <v>300</v>
      </c>
      <c r="G166" s="252" t="s">
        <v>993</v>
      </c>
      <c r="H166" s="252" t="s">
        <v>994</v>
      </c>
      <c r="I166" s="252" t="s">
        <v>995</v>
      </c>
      <c r="J166" s="252" t="s">
        <v>996</v>
      </c>
      <c r="K166" s="252" t="s">
        <v>969</v>
      </c>
      <c r="L166" s="252" t="s">
        <v>59</v>
      </c>
    </row>
    <row r="167" spans="1:12" hidden="1">
      <c r="A167" s="252">
        <v>756</v>
      </c>
      <c r="B167" s="252" t="s">
        <v>997</v>
      </c>
      <c r="C167" s="252" t="s">
        <v>998</v>
      </c>
      <c r="D167" s="118" t="s">
        <v>46</v>
      </c>
      <c r="E167" s="252" t="s">
        <v>999</v>
      </c>
      <c r="F167" s="252">
        <v>177</v>
      </c>
      <c r="G167" s="252" t="s">
        <v>1000</v>
      </c>
      <c r="H167" s="252" t="s">
        <v>1001</v>
      </c>
      <c r="I167" s="252" t="s">
        <v>57</v>
      </c>
      <c r="J167" s="252" t="s">
        <v>997</v>
      </c>
      <c r="K167" s="252" t="s">
        <v>120</v>
      </c>
      <c r="L167" s="252" t="s">
        <v>59</v>
      </c>
    </row>
    <row r="168" spans="1:12" hidden="1">
      <c r="A168" s="252">
        <v>764</v>
      </c>
      <c r="B168" s="252" t="s">
        <v>1002</v>
      </c>
      <c r="C168" s="252" t="s">
        <v>1003</v>
      </c>
      <c r="D168" s="118" t="s">
        <v>91</v>
      </c>
      <c r="E168" s="252" t="s">
        <v>1004</v>
      </c>
      <c r="F168" s="252">
        <v>70</v>
      </c>
      <c r="G168" s="252" t="s">
        <v>1005</v>
      </c>
      <c r="H168" s="252" t="s">
        <v>1006</v>
      </c>
      <c r="I168" s="252" t="s">
        <v>1007</v>
      </c>
      <c r="J168" s="252" t="s">
        <v>158</v>
      </c>
      <c r="K168" s="252" t="s">
        <v>159</v>
      </c>
      <c r="L168" s="252" t="s">
        <v>130</v>
      </c>
    </row>
    <row r="169" spans="1:12" hidden="1">
      <c r="A169" s="252">
        <v>765</v>
      </c>
      <c r="B169" s="252" t="s">
        <v>1008</v>
      </c>
      <c r="C169" s="252" t="s">
        <v>1009</v>
      </c>
      <c r="D169" s="118" t="s">
        <v>91</v>
      </c>
      <c r="E169" s="252" t="s">
        <v>1010</v>
      </c>
      <c r="F169" s="252">
        <v>4605</v>
      </c>
      <c r="G169" s="252" t="s">
        <v>1011</v>
      </c>
      <c r="H169" s="252" t="s">
        <v>1012</v>
      </c>
      <c r="I169" s="252" t="s">
        <v>1013</v>
      </c>
      <c r="J169" s="252" t="s">
        <v>309</v>
      </c>
      <c r="K169" s="252" t="s">
        <v>314</v>
      </c>
      <c r="L169" s="252" t="s">
        <v>195</v>
      </c>
    </row>
    <row r="170" spans="1:12" hidden="1">
      <c r="A170" s="252">
        <v>768</v>
      </c>
      <c r="B170" s="252" t="s">
        <v>1014</v>
      </c>
      <c r="C170" s="252" t="s">
        <v>1015</v>
      </c>
      <c r="D170" s="118" t="s">
        <v>91</v>
      </c>
      <c r="E170" s="252" t="s">
        <v>1016</v>
      </c>
      <c r="F170" s="252">
        <v>400</v>
      </c>
      <c r="G170" s="252" t="s">
        <v>1017</v>
      </c>
      <c r="H170" s="252" t="s">
        <v>1018</v>
      </c>
      <c r="I170" s="252" t="s">
        <v>1019</v>
      </c>
      <c r="J170" s="252" t="s">
        <v>1020</v>
      </c>
      <c r="K170" s="252" t="s">
        <v>58</v>
      </c>
      <c r="L170" s="252" t="s">
        <v>59</v>
      </c>
    </row>
    <row r="171" spans="1:12" hidden="1">
      <c r="A171" s="252">
        <v>770</v>
      </c>
      <c r="B171" s="252" t="s">
        <v>1021</v>
      </c>
      <c r="C171" s="252" t="s">
        <v>1022</v>
      </c>
      <c r="D171" s="118" t="s">
        <v>46</v>
      </c>
      <c r="E171" s="252" t="s">
        <v>1023</v>
      </c>
      <c r="F171" s="252">
        <v>270</v>
      </c>
      <c r="G171" s="252"/>
      <c r="H171" s="252" t="s">
        <v>1024</v>
      </c>
      <c r="I171" s="252" t="s">
        <v>57</v>
      </c>
      <c r="J171" s="252" t="s">
        <v>1021</v>
      </c>
      <c r="K171" s="252" t="s">
        <v>58</v>
      </c>
      <c r="L171" s="252" t="s">
        <v>59</v>
      </c>
    </row>
    <row r="172" spans="1:12" hidden="1">
      <c r="A172" s="252">
        <v>771</v>
      </c>
      <c r="B172" s="252" t="s">
        <v>1025</v>
      </c>
      <c r="C172" s="252" t="s">
        <v>1026</v>
      </c>
      <c r="D172" s="118" t="s">
        <v>91</v>
      </c>
      <c r="E172" s="252" t="s">
        <v>1027</v>
      </c>
      <c r="F172" s="252">
        <v>100</v>
      </c>
      <c r="G172" s="252" t="s">
        <v>1028</v>
      </c>
      <c r="H172" s="252" t="s">
        <v>1029</v>
      </c>
      <c r="I172" s="252" t="s">
        <v>1030</v>
      </c>
      <c r="J172" s="252" t="s">
        <v>1031</v>
      </c>
      <c r="K172" s="252" t="s">
        <v>251</v>
      </c>
      <c r="L172" s="252" t="s">
        <v>59</v>
      </c>
    </row>
    <row r="173" spans="1:12" hidden="1">
      <c r="A173" s="252">
        <v>774</v>
      </c>
      <c r="B173" s="252" t="s">
        <v>1032</v>
      </c>
      <c r="C173" s="252" t="s">
        <v>1033</v>
      </c>
      <c r="D173" s="118" t="s">
        <v>91</v>
      </c>
      <c r="E173" s="252" t="s">
        <v>1034</v>
      </c>
      <c r="F173" s="252">
        <v>0</v>
      </c>
      <c r="G173" s="252" t="s">
        <v>1035</v>
      </c>
      <c r="H173" s="252" t="s">
        <v>1036</v>
      </c>
      <c r="I173" s="252" t="s">
        <v>1037</v>
      </c>
      <c r="J173" s="252" t="s">
        <v>458</v>
      </c>
      <c r="K173" s="252" t="s">
        <v>459</v>
      </c>
      <c r="L173" s="252" t="s">
        <v>65</v>
      </c>
    </row>
    <row r="174" spans="1:12" hidden="1">
      <c r="A174" s="252">
        <v>778</v>
      </c>
      <c r="B174" s="252" t="s">
        <v>1038</v>
      </c>
      <c r="C174" s="252" t="s">
        <v>1039</v>
      </c>
      <c r="D174" s="118" t="s">
        <v>91</v>
      </c>
      <c r="E174" s="252" t="s">
        <v>1040</v>
      </c>
      <c r="F174" s="252">
        <v>224</v>
      </c>
      <c r="G174" s="252" t="s">
        <v>1041</v>
      </c>
      <c r="H174" s="252" t="s">
        <v>1042</v>
      </c>
      <c r="I174" s="252" t="s">
        <v>1043</v>
      </c>
      <c r="J174" s="252" t="s">
        <v>1044</v>
      </c>
      <c r="K174" s="252" t="s">
        <v>263</v>
      </c>
      <c r="L174" s="252" t="s">
        <v>51</v>
      </c>
    </row>
    <row r="175" spans="1:12" hidden="1">
      <c r="A175" s="252">
        <v>780</v>
      </c>
      <c r="B175" s="252" t="s">
        <v>1020</v>
      </c>
      <c r="C175" s="252" t="s">
        <v>1045</v>
      </c>
      <c r="D175" s="118" t="s">
        <v>46</v>
      </c>
      <c r="E175" s="252" t="s">
        <v>1046</v>
      </c>
      <c r="F175" s="252">
        <v>134</v>
      </c>
      <c r="G175" s="252"/>
      <c r="H175" s="252" t="s">
        <v>1047</v>
      </c>
      <c r="I175" s="252" t="s">
        <v>1048</v>
      </c>
      <c r="J175" s="252" t="s">
        <v>1020</v>
      </c>
      <c r="K175" s="252" t="s">
        <v>58</v>
      </c>
      <c r="L175" s="252" t="s">
        <v>59</v>
      </c>
    </row>
    <row r="176" spans="1:12" hidden="1">
      <c r="A176" s="252">
        <v>783</v>
      </c>
      <c r="B176" s="252" t="s">
        <v>1049</v>
      </c>
      <c r="C176" s="252" t="s">
        <v>1050</v>
      </c>
      <c r="D176" s="118" t="s">
        <v>91</v>
      </c>
      <c r="E176" s="252" t="s">
        <v>1051</v>
      </c>
      <c r="F176" s="252">
        <v>987</v>
      </c>
      <c r="G176" s="252" t="s">
        <v>1052</v>
      </c>
      <c r="H176" s="252" t="s">
        <v>1053</v>
      </c>
      <c r="I176" s="252" t="s">
        <v>1054</v>
      </c>
      <c r="J176" s="252" t="s">
        <v>76</v>
      </c>
      <c r="K176" s="252" t="s">
        <v>77</v>
      </c>
      <c r="L176" s="252" t="s">
        <v>65</v>
      </c>
    </row>
    <row r="177" spans="1:12" hidden="1">
      <c r="A177" s="252">
        <v>785</v>
      </c>
      <c r="B177" s="252" t="s">
        <v>1055</v>
      </c>
      <c r="C177" s="252" t="s">
        <v>1056</v>
      </c>
      <c r="D177" s="118" t="s">
        <v>91</v>
      </c>
      <c r="E177" s="252" t="s">
        <v>1057</v>
      </c>
      <c r="F177" s="252">
        <v>5</v>
      </c>
      <c r="G177" s="252" t="s">
        <v>1058</v>
      </c>
      <c r="H177" s="252" t="s">
        <v>1059</v>
      </c>
      <c r="I177" s="252" t="s">
        <v>1060</v>
      </c>
      <c r="J177" s="252" t="s">
        <v>1061</v>
      </c>
      <c r="K177" s="252" t="s">
        <v>58</v>
      </c>
      <c r="L177" s="252" t="s">
        <v>59</v>
      </c>
    </row>
    <row r="178" spans="1:12" hidden="1">
      <c r="A178" s="252">
        <v>788</v>
      </c>
      <c r="B178" s="252" t="s">
        <v>1062</v>
      </c>
      <c r="C178" s="252" t="s">
        <v>1063</v>
      </c>
      <c r="D178" s="118" t="s">
        <v>91</v>
      </c>
      <c r="E178" s="252" t="s">
        <v>1064</v>
      </c>
      <c r="F178" s="252">
        <v>1086</v>
      </c>
      <c r="G178" s="252" t="s">
        <v>1065</v>
      </c>
      <c r="H178" s="252" t="s">
        <v>1066</v>
      </c>
      <c r="I178" s="252" t="s">
        <v>1067</v>
      </c>
      <c r="J178" s="252" t="s">
        <v>1068</v>
      </c>
      <c r="K178" s="252" t="s">
        <v>58</v>
      </c>
      <c r="L178" s="252" t="s">
        <v>59</v>
      </c>
    </row>
    <row r="179" spans="1:12" hidden="1">
      <c r="A179" s="252">
        <v>794</v>
      </c>
      <c r="B179" s="252" t="s">
        <v>1069</v>
      </c>
      <c r="C179" s="252" t="s">
        <v>1070</v>
      </c>
      <c r="D179" s="118" t="s">
        <v>46</v>
      </c>
      <c r="E179" s="252" t="s">
        <v>1071</v>
      </c>
      <c r="F179" s="252">
        <v>673</v>
      </c>
      <c r="G179" s="252"/>
      <c r="H179" s="252" t="s">
        <v>1072</v>
      </c>
      <c r="I179" s="252" t="s">
        <v>57</v>
      </c>
      <c r="J179" s="252" t="s">
        <v>1069</v>
      </c>
      <c r="K179" s="252" t="s">
        <v>58</v>
      </c>
      <c r="L179" s="252" t="s">
        <v>59</v>
      </c>
    </row>
    <row r="180" spans="1:12" hidden="1">
      <c r="A180" s="252">
        <v>795</v>
      </c>
      <c r="B180" s="252" t="s">
        <v>940</v>
      </c>
      <c r="C180" s="252" t="s">
        <v>1073</v>
      </c>
      <c r="D180" s="118" t="s">
        <v>46</v>
      </c>
      <c r="E180" s="252" t="s">
        <v>1074</v>
      </c>
      <c r="F180" s="252">
        <v>945</v>
      </c>
      <c r="G180" s="252" t="s">
        <v>1075</v>
      </c>
      <c r="H180" s="252" t="s">
        <v>1076</v>
      </c>
      <c r="I180" s="252" t="s">
        <v>57</v>
      </c>
      <c r="J180" s="252" t="s">
        <v>940</v>
      </c>
      <c r="K180" s="252" t="s">
        <v>1077</v>
      </c>
      <c r="L180" s="252" t="s">
        <v>195</v>
      </c>
    </row>
    <row r="181" spans="1:12" hidden="1">
      <c r="A181" s="252">
        <v>796</v>
      </c>
      <c r="B181" s="252" t="s">
        <v>1078</v>
      </c>
      <c r="C181" s="252" t="s">
        <v>1079</v>
      </c>
      <c r="D181" s="118" t="s">
        <v>91</v>
      </c>
      <c r="E181" s="252" t="s">
        <v>1080</v>
      </c>
      <c r="F181" s="252">
        <v>1707</v>
      </c>
      <c r="G181" s="252" t="s">
        <v>1081</v>
      </c>
      <c r="H181" s="252" t="s">
        <v>1082</v>
      </c>
      <c r="I181" s="252" t="s">
        <v>57</v>
      </c>
      <c r="J181" s="252" t="s">
        <v>200</v>
      </c>
      <c r="K181" s="252" t="s">
        <v>204</v>
      </c>
      <c r="L181" s="252" t="s">
        <v>195</v>
      </c>
    </row>
    <row r="182" spans="1:12" hidden="1">
      <c r="A182" s="252">
        <v>799</v>
      </c>
      <c r="B182" s="252" t="s">
        <v>1083</v>
      </c>
      <c r="C182" s="252" t="s">
        <v>1084</v>
      </c>
      <c r="D182" s="118" t="s">
        <v>91</v>
      </c>
      <c r="E182" s="252" t="s">
        <v>1085</v>
      </c>
      <c r="F182" s="252">
        <v>8000</v>
      </c>
      <c r="G182" s="252" t="s">
        <v>1086</v>
      </c>
      <c r="H182" s="252" t="s">
        <v>1087</v>
      </c>
      <c r="I182" s="252" t="s">
        <v>1088</v>
      </c>
      <c r="J182" s="252" t="s">
        <v>49</v>
      </c>
      <c r="K182" s="252" t="s">
        <v>50</v>
      </c>
      <c r="L182" s="252" t="s">
        <v>51</v>
      </c>
    </row>
    <row r="183" spans="1:12" hidden="1">
      <c r="A183" s="252">
        <v>844</v>
      </c>
      <c r="B183" s="252" t="s">
        <v>1089</v>
      </c>
      <c r="C183" s="252" t="s">
        <v>1090</v>
      </c>
      <c r="D183" s="118" t="s">
        <v>46</v>
      </c>
      <c r="E183" s="252" t="s">
        <v>1091</v>
      </c>
      <c r="F183" s="252">
        <v>1284</v>
      </c>
      <c r="G183" s="252"/>
      <c r="H183" s="252" t="s">
        <v>1092</v>
      </c>
      <c r="I183" s="252" t="s">
        <v>1089</v>
      </c>
      <c r="J183" s="252" t="s">
        <v>250</v>
      </c>
      <c r="K183" s="252" t="s">
        <v>251</v>
      </c>
      <c r="L183" s="252" t="s">
        <v>59</v>
      </c>
    </row>
    <row r="184" spans="1:12" hidden="1">
      <c r="A184" s="252">
        <v>845</v>
      </c>
      <c r="B184" s="252" t="s">
        <v>1093</v>
      </c>
      <c r="C184" s="252" t="s">
        <v>1094</v>
      </c>
      <c r="D184" s="118" t="s">
        <v>46</v>
      </c>
      <c r="E184" s="252" t="s">
        <v>1095</v>
      </c>
      <c r="F184" s="252">
        <v>35</v>
      </c>
      <c r="G184" s="252"/>
      <c r="H184" s="252" t="s">
        <v>1096</v>
      </c>
      <c r="I184" s="252" t="s">
        <v>57</v>
      </c>
      <c r="J184" s="252" t="s">
        <v>1093</v>
      </c>
      <c r="K184" s="252" t="s">
        <v>58</v>
      </c>
      <c r="L184" s="252" t="s">
        <v>59</v>
      </c>
    </row>
    <row r="185" spans="1:12" hidden="1">
      <c r="A185" s="252">
        <v>847</v>
      </c>
      <c r="B185" s="252" t="s">
        <v>1097</v>
      </c>
      <c r="C185" s="252" t="s">
        <v>1098</v>
      </c>
      <c r="D185" s="118" t="s">
        <v>46</v>
      </c>
      <c r="E185" s="252" t="s">
        <v>1099</v>
      </c>
      <c r="F185" s="252">
        <v>271</v>
      </c>
      <c r="G185" s="252" t="s">
        <v>1100</v>
      </c>
      <c r="H185" s="252" t="s">
        <v>1101</v>
      </c>
      <c r="I185" s="252" t="s">
        <v>57</v>
      </c>
      <c r="J185" s="252" t="s">
        <v>1097</v>
      </c>
      <c r="K185" s="252" t="s">
        <v>328</v>
      </c>
      <c r="L185" s="252" t="s">
        <v>195</v>
      </c>
    </row>
    <row r="186" spans="1:12" hidden="1">
      <c r="A186" s="252">
        <v>848</v>
      </c>
      <c r="B186" s="252" t="s">
        <v>1102</v>
      </c>
      <c r="C186" s="252" t="s">
        <v>1103</v>
      </c>
      <c r="D186" s="118" t="s">
        <v>46</v>
      </c>
      <c r="E186" s="252" t="s">
        <v>1104</v>
      </c>
      <c r="F186" s="252">
        <v>1156</v>
      </c>
      <c r="G186" s="252" t="s">
        <v>1105</v>
      </c>
      <c r="H186" s="252" t="s">
        <v>1106</v>
      </c>
      <c r="I186" s="252" t="s">
        <v>1107</v>
      </c>
      <c r="J186" s="252" t="s">
        <v>105</v>
      </c>
      <c r="K186" s="252" t="s">
        <v>58</v>
      </c>
      <c r="L186" s="252" t="s">
        <v>59</v>
      </c>
    </row>
    <row r="187" spans="1:12" hidden="1">
      <c r="A187" s="252">
        <v>849</v>
      </c>
      <c r="B187" s="252" t="s">
        <v>1108</v>
      </c>
      <c r="C187" s="252" t="s">
        <v>1109</v>
      </c>
      <c r="D187" s="118" t="s">
        <v>91</v>
      </c>
      <c r="E187" s="252" t="s">
        <v>1110</v>
      </c>
      <c r="F187" s="252">
        <v>2077</v>
      </c>
      <c r="G187" s="252" t="s">
        <v>1111</v>
      </c>
      <c r="H187" s="252" t="s">
        <v>1112</v>
      </c>
      <c r="I187" s="252" t="s">
        <v>1113</v>
      </c>
      <c r="J187" s="252" t="s">
        <v>565</v>
      </c>
      <c r="K187" s="252" t="s">
        <v>58</v>
      </c>
      <c r="L187" s="252" t="s">
        <v>59</v>
      </c>
    </row>
    <row r="188" spans="1:12" hidden="1">
      <c r="A188" s="252">
        <v>851</v>
      </c>
      <c r="B188" s="252" t="s">
        <v>1114</v>
      </c>
      <c r="C188" s="252" t="s">
        <v>1115</v>
      </c>
      <c r="D188" s="118" t="s">
        <v>46</v>
      </c>
      <c r="E188" s="252" t="s">
        <v>1116</v>
      </c>
      <c r="F188" s="252">
        <v>350</v>
      </c>
      <c r="G188" s="252" t="s">
        <v>1117</v>
      </c>
      <c r="H188" s="252" t="s">
        <v>1118</v>
      </c>
      <c r="I188" s="252" t="s">
        <v>1119</v>
      </c>
      <c r="J188" s="252" t="s">
        <v>95</v>
      </c>
      <c r="K188" s="252" t="s">
        <v>58</v>
      </c>
      <c r="L188" s="252" t="s">
        <v>59</v>
      </c>
    </row>
    <row r="189" spans="1:12" hidden="1">
      <c r="A189" s="252">
        <v>852</v>
      </c>
      <c r="B189" s="252" t="s">
        <v>1120</v>
      </c>
      <c r="C189" s="252" t="s">
        <v>1121</v>
      </c>
      <c r="D189" s="118" t="s">
        <v>46</v>
      </c>
      <c r="E189" s="252" t="s">
        <v>1122</v>
      </c>
      <c r="F189" s="252">
        <v>1415</v>
      </c>
      <c r="G189" s="252"/>
      <c r="H189" s="252" t="s">
        <v>1123</v>
      </c>
      <c r="I189" s="252" t="s">
        <v>1120</v>
      </c>
      <c r="J189" s="252" t="s">
        <v>95</v>
      </c>
      <c r="K189" s="252" t="s">
        <v>58</v>
      </c>
      <c r="L189" s="252" t="s">
        <v>59</v>
      </c>
    </row>
    <row r="190" spans="1:12" hidden="1">
      <c r="A190" s="252">
        <v>853</v>
      </c>
      <c r="B190" s="252" t="s">
        <v>1124</v>
      </c>
      <c r="C190" s="252" t="s">
        <v>1125</v>
      </c>
      <c r="D190" s="118" t="s">
        <v>46</v>
      </c>
      <c r="E190" s="252" t="s">
        <v>1126</v>
      </c>
      <c r="F190" s="252">
        <v>195</v>
      </c>
      <c r="G190" s="252" t="s">
        <v>1127</v>
      </c>
      <c r="H190" s="252" t="s">
        <v>1128</v>
      </c>
      <c r="I190" s="252" t="s">
        <v>57</v>
      </c>
      <c r="J190" s="252" t="s">
        <v>1124</v>
      </c>
      <c r="K190" s="252" t="s">
        <v>58</v>
      </c>
      <c r="L190" s="252" t="s">
        <v>59</v>
      </c>
    </row>
    <row r="191" spans="1:12" hidden="1">
      <c r="A191" s="252">
        <v>857</v>
      </c>
      <c r="B191" s="252" t="s">
        <v>1129</v>
      </c>
      <c r="C191" s="252" t="s">
        <v>1130</v>
      </c>
      <c r="D191" s="118" t="s">
        <v>91</v>
      </c>
      <c r="E191" s="252" t="s">
        <v>1131</v>
      </c>
      <c r="F191" s="252">
        <v>1078</v>
      </c>
      <c r="G191" s="252" t="s">
        <v>1132</v>
      </c>
      <c r="H191" s="252" t="s">
        <v>1133</v>
      </c>
      <c r="I191" s="252" t="s">
        <v>1134</v>
      </c>
      <c r="J191" s="252" t="s">
        <v>327</v>
      </c>
      <c r="K191" s="252" t="s">
        <v>328</v>
      </c>
      <c r="L191" s="252" t="s">
        <v>195</v>
      </c>
    </row>
    <row r="192" spans="1:12" hidden="1">
      <c r="A192" s="252">
        <v>858</v>
      </c>
      <c r="B192" s="252" t="s">
        <v>1135</v>
      </c>
      <c r="C192" s="252" t="s">
        <v>1136</v>
      </c>
      <c r="D192" s="118" t="s">
        <v>46</v>
      </c>
      <c r="E192" s="252" t="s">
        <v>1137</v>
      </c>
      <c r="F192" s="252">
        <v>58</v>
      </c>
      <c r="G192" s="252" t="s">
        <v>1138</v>
      </c>
      <c r="H192" s="252" t="s">
        <v>1139</v>
      </c>
      <c r="I192" s="252" t="s">
        <v>1135</v>
      </c>
      <c r="J192" s="252" t="s">
        <v>95</v>
      </c>
      <c r="K192" s="252" t="s">
        <v>58</v>
      </c>
      <c r="L192" s="252" t="s">
        <v>59</v>
      </c>
    </row>
    <row r="193" spans="1:12" hidden="1">
      <c r="A193" s="252">
        <v>859</v>
      </c>
      <c r="B193" s="252" t="s">
        <v>1140</v>
      </c>
      <c r="C193" s="252" t="s">
        <v>1141</v>
      </c>
      <c r="D193" s="118" t="s">
        <v>46</v>
      </c>
      <c r="E193" s="252" t="s">
        <v>1142</v>
      </c>
      <c r="F193" s="252">
        <v>2077</v>
      </c>
      <c r="G193" s="252"/>
      <c r="H193" s="252" t="s">
        <v>1143</v>
      </c>
      <c r="I193" s="252" t="s">
        <v>1140</v>
      </c>
      <c r="J193" s="252" t="s">
        <v>95</v>
      </c>
      <c r="K193" s="252" t="s">
        <v>58</v>
      </c>
      <c r="L193" s="252" t="s">
        <v>59</v>
      </c>
    </row>
    <row r="194" spans="1:12" hidden="1">
      <c r="A194" s="252">
        <v>864</v>
      </c>
      <c r="B194" s="252" t="s">
        <v>1144</v>
      </c>
      <c r="C194" s="252" t="s">
        <v>1145</v>
      </c>
      <c r="D194" s="118" t="s">
        <v>46</v>
      </c>
      <c r="E194" s="252" t="s">
        <v>80</v>
      </c>
      <c r="F194" s="252">
        <v>143</v>
      </c>
      <c r="G194" s="252"/>
      <c r="H194" s="252" t="s">
        <v>1146</v>
      </c>
      <c r="I194" s="252" t="s">
        <v>57</v>
      </c>
      <c r="J194" s="252" t="s">
        <v>1147</v>
      </c>
      <c r="K194" s="252" t="s">
        <v>120</v>
      </c>
      <c r="L194" s="252" t="s">
        <v>59</v>
      </c>
    </row>
    <row r="195" spans="1:12" hidden="1">
      <c r="A195" s="252">
        <v>867</v>
      </c>
      <c r="B195" s="252" t="s">
        <v>1148</v>
      </c>
      <c r="C195" s="252" t="s">
        <v>1149</v>
      </c>
      <c r="D195" s="118" t="s">
        <v>91</v>
      </c>
      <c r="E195" s="252" t="s">
        <v>584</v>
      </c>
      <c r="F195" s="252">
        <v>11833</v>
      </c>
      <c r="G195" s="252" t="s">
        <v>1150</v>
      </c>
      <c r="H195" s="252" t="s">
        <v>1151</v>
      </c>
      <c r="I195" s="252" t="s">
        <v>1152</v>
      </c>
      <c r="J195" s="252" t="s">
        <v>250</v>
      </c>
      <c r="K195" s="252" t="s">
        <v>251</v>
      </c>
      <c r="L195" s="252" t="s">
        <v>59</v>
      </c>
    </row>
    <row r="196" spans="1:12" hidden="1">
      <c r="A196" s="252">
        <v>868</v>
      </c>
      <c r="B196" s="252" t="s">
        <v>1153</v>
      </c>
      <c r="C196" s="252" t="s">
        <v>1154</v>
      </c>
      <c r="D196" s="118" t="s">
        <v>46</v>
      </c>
      <c r="E196" s="252" t="s">
        <v>1155</v>
      </c>
      <c r="F196" s="252">
        <v>1130</v>
      </c>
      <c r="G196" s="252"/>
      <c r="H196" s="252" t="s">
        <v>1156</v>
      </c>
      <c r="I196" s="252" t="s">
        <v>1157</v>
      </c>
      <c r="J196" s="252" t="s">
        <v>95</v>
      </c>
      <c r="K196" s="252" t="s">
        <v>58</v>
      </c>
      <c r="L196" s="252" t="s">
        <v>59</v>
      </c>
    </row>
    <row r="197" spans="1:12" hidden="1">
      <c r="A197" s="252">
        <v>876</v>
      </c>
      <c r="B197" s="252" t="s">
        <v>1158</v>
      </c>
      <c r="C197" s="252" t="s">
        <v>1159</v>
      </c>
      <c r="D197" s="118" t="s">
        <v>91</v>
      </c>
      <c r="E197" s="252" t="s">
        <v>1160</v>
      </c>
      <c r="F197" s="252">
        <v>0</v>
      </c>
      <c r="G197" s="252" t="s">
        <v>1161</v>
      </c>
      <c r="H197" s="252" t="s">
        <v>1162</v>
      </c>
      <c r="I197" s="252" t="s">
        <v>1163</v>
      </c>
      <c r="J197" s="252" t="s">
        <v>190</v>
      </c>
      <c r="K197" s="252" t="s">
        <v>194</v>
      </c>
      <c r="L197" s="252" t="s">
        <v>195</v>
      </c>
    </row>
    <row r="198" spans="1:12" hidden="1">
      <c r="A198" s="252">
        <v>877</v>
      </c>
      <c r="B198" s="252" t="s">
        <v>1164</v>
      </c>
      <c r="C198" s="252" t="s">
        <v>1165</v>
      </c>
      <c r="D198" s="118" t="s">
        <v>46</v>
      </c>
      <c r="E198" s="252" t="s">
        <v>1166</v>
      </c>
      <c r="F198" s="252">
        <v>1878</v>
      </c>
      <c r="G198" s="252" t="s">
        <v>1167</v>
      </c>
      <c r="H198" s="252" t="s">
        <v>1168</v>
      </c>
      <c r="I198" s="252" t="s">
        <v>57</v>
      </c>
      <c r="J198" s="252" t="s">
        <v>1164</v>
      </c>
      <c r="K198" s="252" t="s">
        <v>50</v>
      </c>
      <c r="L198" s="252" t="s">
        <v>51</v>
      </c>
    </row>
    <row r="199" spans="1:12" hidden="1">
      <c r="A199" s="252">
        <v>879</v>
      </c>
      <c r="B199" s="252" t="s">
        <v>1169</v>
      </c>
      <c r="C199" s="252" t="s">
        <v>1170</v>
      </c>
      <c r="D199" s="118" t="s">
        <v>46</v>
      </c>
      <c r="E199" s="252" t="s">
        <v>212</v>
      </c>
      <c r="F199" s="252">
        <v>728</v>
      </c>
      <c r="G199" s="252" t="s">
        <v>1171</v>
      </c>
      <c r="H199" s="252" t="s">
        <v>1172</v>
      </c>
      <c r="I199" s="252" t="s">
        <v>57</v>
      </c>
      <c r="J199" s="252" t="s">
        <v>1169</v>
      </c>
      <c r="K199" s="252" t="s">
        <v>50</v>
      </c>
      <c r="L199" s="252" t="s">
        <v>51</v>
      </c>
    </row>
    <row r="200" spans="1:12" hidden="1">
      <c r="A200" s="252">
        <v>880</v>
      </c>
      <c r="B200" s="252" t="s">
        <v>1173</v>
      </c>
      <c r="C200" s="252" t="s">
        <v>1174</v>
      </c>
      <c r="D200" s="118" t="s">
        <v>46</v>
      </c>
      <c r="E200" s="252" t="s">
        <v>1175</v>
      </c>
      <c r="F200" s="252">
        <v>673</v>
      </c>
      <c r="G200" s="252"/>
      <c r="H200" s="252" t="s">
        <v>1176</v>
      </c>
      <c r="I200" s="252" t="s">
        <v>57</v>
      </c>
      <c r="J200" s="252" t="s">
        <v>1173</v>
      </c>
      <c r="K200" s="252" t="s">
        <v>251</v>
      </c>
      <c r="L200" s="252" t="s">
        <v>59</v>
      </c>
    </row>
    <row r="201" spans="1:12" hidden="1">
      <c r="A201" s="252">
        <v>884</v>
      </c>
      <c r="B201" s="252" t="s">
        <v>1177</v>
      </c>
      <c r="C201" s="252" t="s">
        <v>1178</v>
      </c>
      <c r="D201" s="118" t="s">
        <v>91</v>
      </c>
      <c r="E201" s="252" t="s">
        <v>1179</v>
      </c>
      <c r="F201" s="252">
        <v>0</v>
      </c>
      <c r="G201" s="252" t="s">
        <v>1180</v>
      </c>
      <c r="H201" s="252" t="s">
        <v>1181</v>
      </c>
      <c r="I201" s="252" t="s">
        <v>1182</v>
      </c>
      <c r="J201" s="252" t="s">
        <v>1183</v>
      </c>
      <c r="K201" s="252" t="s">
        <v>251</v>
      </c>
      <c r="L201" s="252" t="s">
        <v>59</v>
      </c>
    </row>
    <row r="202" spans="1:12" hidden="1">
      <c r="A202" s="252">
        <v>885</v>
      </c>
      <c r="B202" s="252" t="s">
        <v>1184</v>
      </c>
      <c r="C202" s="252" t="s">
        <v>1185</v>
      </c>
      <c r="D202" s="118" t="s">
        <v>91</v>
      </c>
      <c r="E202" s="252" t="s">
        <v>1186</v>
      </c>
      <c r="F202" s="252">
        <v>251</v>
      </c>
      <c r="G202" s="252" t="s">
        <v>1187</v>
      </c>
      <c r="H202" s="252" t="s">
        <v>1188</v>
      </c>
      <c r="I202" s="252" t="s">
        <v>1189</v>
      </c>
      <c r="J202" s="252" t="s">
        <v>466</v>
      </c>
      <c r="K202" s="252" t="s">
        <v>112</v>
      </c>
      <c r="L202" s="252" t="s">
        <v>65</v>
      </c>
    </row>
    <row r="203" spans="1:12" hidden="1">
      <c r="A203" s="252">
        <v>888</v>
      </c>
      <c r="B203" s="252" t="s">
        <v>1190</v>
      </c>
      <c r="C203" s="252" t="s">
        <v>1191</v>
      </c>
      <c r="D203" s="118" t="s">
        <v>91</v>
      </c>
      <c r="E203" s="252" t="s">
        <v>1192</v>
      </c>
      <c r="F203" s="252">
        <v>1181</v>
      </c>
      <c r="G203" s="252" t="s">
        <v>1193</v>
      </c>
      <c r="H203" s="252" t="s">
        <v>1194</v>
      </c>
      <c r="I203" s="252" t="s">
        <v>1195</v>
      </c>
      <c r="J203" s="252" t="s">
        <v>49</v>
      </c>
      <c r="K203" s="252" t="s">
        <v>50</v>
      </c>
      <c r="L203" s="252" t="s">
        <v>51</v>
      </c>
    </row>
    <row r="204" spans="1:12" hidden="1">
      <c r="A204" s="252">
        <v>889</v>
      </c>
      <c r="B204" s="252" t="s">
        <v>1196</v>
      </c>
      <c r="C204" s="252" t="s">
        <v>1197</v>
      </c>
      <c r="D204" s="118" t="s">
        <v>46</v>
      </c>
      <c r="E204" s="252" t="s">
        <v>1198</v>
      </c>
      <c r="F204" s="252">
        <v>1824</v>
      </c>
      <c r="G204" s="252"/>
      <c r="H204" s="252" t="s">
        <v>1199</v>
      </c>
      <c r="I204" s="252" t="s">
        <v>1196</v>
      </c>
      <c r="J204" s="252" t="s">
        <v>95</v>
      </c>
      <c r="K204" s="252" t="s">
        <v>58</v>
      </c>
      <c r="L204" s="252" t="s">
        <v>59</v>
      </c>
    </row>
    <row r="205" spans="1:12" hidden="1">
      <c r="A205" s="252">
        <v>890</v>
      </c>
      <c r="B205" s="252" t="s">
        <v>1200</v>
      </c>
      <c r="C205" s="252" t="s">
        <v>1201</v>
      </c>
      <c r="D205" s="118" t="s">
        <v>46</v>
      </c>
      <c r="E205" s="252" t="s">
        <v>1202</v>
      </c>
      <c r="F205" s="252">
        <v>2805</v>
      </c>
      <c r="G205" s="252"/>
      <c r="H205" s="252" t="s">
        <v>1203</v>
      </c>
      <c r="I205" s="252" t="s">
        <v>57</v>
      </c>
      <c r="J205" s="252" t="s">
        <v>1200</v>
      </c>
      <c r="K205" s="252" t="s">
        <v>50</v>
      </c>
      <c r="L205" s="252" t="s">
        <v>51</v>
      </c>
    </row>
    <row r="206" spans="1:12" hidden="1">
      <c r="A206" s="252">
        <v>891</v>
      </c>
      <c r="B206" s="252" t="s">
        <v>1204</v>
      </c>
      <c r="C206" s="252" t="s">
        <v>1205</v>
      </c>
      <c r="D206" s="118" t="s">
        <v>91</v>
      </c>
      <c r="E206" s="252" t="s">
        <v>1206</v>
      </c>
      <c r="F206" s="252">
        <v>0</v>
      </c>
      <c r="G206" s="252" t="s">
        <v>1207</v>
      </c>
      <c r="H206" s="252" t="s">
        <v>1208</v>
      </c>
      <c r="I206" s="252" t="s">
        <v>1209</v>
      </c>
      <c r="J206" s="252" t="s">
        <v>1210</v>
      </c>
      <c r="K206" s="252" t="s">
        <v>83</v>
      </c>
      <c r="L206" s="252" t="s">
        <v>65</v>
      </c>
    </row>
    <row r="207" spans="1:12" hidden="1">
      <c r="A207" s="252">
        <v>893</v>
      </c>
      <c r="B207" s="252" t="s">
        <v>918</v>
      </c>
      <c r="C207" s="252" t="s">
        <v>1211</v>
      </c>
      <c r="D207" s="118" t="s">
        <v>46</v>
      </c>
      <c r="E207" s="252" t="s">
        <v>1212</v>
      </c>
      <c r="F207" s="252">
        <v>321</v>
      </c>
      <c r="G207" s="252"/>
      <c r="H207" s="252" t="s">
        <v>1213</v>
      </c>
      <c r="I207" s="252" t="s">
        <v>57</v>
      </c>
      <c r="J207" s="252" t="s">
        <v>918</v>
      </c>
      <c r="K207" s="252" t="s">
        <v>459</v>
      </c>
      <c r="L207" s="252" t="s">
        <v>65</v>
      </c>
    </row>
    <row r="208" spans="1:12" hidden="1">
      <c r="A208" s="252">
        <v>895</v>
      </c>
      <c r="B208" s="252" t="s">
        <v>1214</v>
      </c>
      <c r="C208" s="252" t="s">
        <v>1215</v>
      </c>
      <c r="D208" s="118" t="s">
        <v>46</v>
      </c>
      <c r="E208" s="252" t="s">
        <v>1216</v>
      </c>
      <c r="F208" s="252">
        <v>3131</v>
      </c>
      <c r="G208" s="252"/>
      <c r="H208" s="252" t="s">
        <v>1217</v>
      </c>
      <c r="I208" s="252" t="s">
        <v>1214</v>
      </c>
      <c r="J208" s="252" t="s">
        <v>458</v>
      </c>
      <c r="K208" s="252" t="s">
        <v>459</v>
      </c>
      <c r="L208" s="252" t="s">
        <v>65</v>
      </c>
    </row>
    <row r="209" spans="1:12" hidden="1">
      <c r="A209" s="252">
        <v>905</v>
      </c>
      <c r="B209" s="252" t="s">
        <v>1218</v>
      </c>
      <c r="C209" s="252" t="s">
        <v>1219</v>
      </c>
      <c r="D209" s="118" t="s">
        <v>46</v>
      </c>
      <c r="E209" s="252" t="s">
        <v>1220</v>
      </c>
      <c r="F209" s="252">
        <v>113</v>
      </c>
      <c r="G209" s="252"/>
      <c r="H209" s="252" t="s">
        <v>1221</v>
      </c>
      <c r="I209" s="252" t="s">
        <v>1222</v>
      </c>
      <c r="J209" s="252" t="s">
        <v>327</v>
      </c>
      <c r="K209" s="252" t="s">
        <v>328</v>
      </c>
      <c r="L209" s="252" t="s">
        <v>195</v>
      </c>
    </row>
    <row r="210" spans="1:12" hidden="1">
      <c r="A210" s="252">
        <v>908</v>
      </c>
      <c r="B210" s="252" t="s">
        <v>1223</v>
      </c>
      <c r="C210" s="252" t="s">
        <v>1224</v>
      </c>
      <c r="D210" s="118" t="s">
        <v>46</v>
      </c>
      <c r="E210" s="252" t="s">
        <v>1225</v>
      </c>
      <c r="F210" s="252">
        <v>412</v>
      </c>
      <c r="G210" s="252" t="s">
        <v>1226</v>
      </c>
      <c r="H210" s="252" t="s">
        <v>1227</v>
      </c>
      <c r="I210" s="252" t="s">
        <v>1228</v>
      </c>
      <c r="J210" s="252" t="s">
        <v>1223</v>
      </c>
      <c r="K210" s="252" t="s">
        <v>328</v>
      </c>
      <c r="L210" s="252" t="s">
        <v>195</v>
      </c>
    </row>
    <row r="211" spans="1:12" hidden="1">
      <c r="A211" s="252">
        <v>909</v>
      </c>
      <c r="B211" s="252" t="s">
        <v>1229</v>
      </c>
      <c r="C211" s="252" t="s">
        <v>1230</v>
      </c>
      <c r="D211" s="118" t="s">
        <v>46</v>
      </c>
      <c r="E211" s="252" t="s">
        <v>1231</v>
      </c>
      <c r="F211" s="252">
        <v>2371</v>
      </c>
      <c r="G211" s="252"/>
      <c r="H211" s="252" t="s">
        <v>1232</v>
      </c>
      <c r="I211" s="252" t="s">
        <v>57</v>
      </c>
      <c r="J211" s="252" t="s">
        <v>1229</v>
      </c>
      <c r="K211" s="252" t="s">
        <v>189</v>
      </c>
      <c r="L211" s="252" t="s">
        <v>130</v>
      </c>
    </row>
    <row r="212" spans="1:12" hidden="1">
      <c r="A212" s="252">
        <v>912</v>
      </c>
      <c r="B212" s="252" t="s">
        <v>1233</v>
      </c>
      <c r="C212" s="252" t="s">
        <v>1234</v>
      </c>
      <c r="D212" s="118" t="s">
        <v>91</v>
      </c>
      <c r="E212" s="252" t="s">
        <v>1235</v>
      </c>
      <c r="F212" s="252">
        <v>1700</v>
      </c>
      <c r="G212" s="252" t="s">
        <v>1236</v>
      </c>
      <c r="H212" s="252" t="s">
        <v>1237</v>
      </c>
      <c r="I212" s="252" t="s">
        <v>1238</v>
      </c>
      <c r="J212" s="252" t="s">
        <v>1239</v>
      </c>
      <c r="K212" s="252" t="s">
        <v>120</v>
      </c>
      <c r="L212" s="252" t="s">
        <v>59</v>
      </c>
    </row>
    <row r="213" spans="1:12" hidden="1">
      <c r="A213" s="252">
        <v>913</v>
      </c>
      <c r="B213" s="252" t="s">
        <v>1240</v>
      </c>
      <c r="C213" s="252" t="s">
        <v>1241</v>
      </c>
      <c r="D213" s="118" t="s">
        <v>46</v>
      </c>
      <c r="E213" s="252" t="s">
        <v>1242</v>
      </c>
      <c r="F213" s="252">
        <v>1080</v>
      </c>
      <c r="G213" s="252" t="s">
        <v>1243</v>
      </c>
      <c r="H213" s="252" t="s">
        <v>1244</v>
      </c>
      <c r="I213" s="252" t="s">
        <v>57</v>
      </c>
      <c r="J213" s="252" t="s">
        <v>1240</v>
      </c>
      <c r="K213" s="252" t="s">
        <v>189</v>
      </c>
      <c r="L213" s="252" t="s">
        <v>130</v>
      </c>
    </row>
    <row r="214" spans="1:12" hidden="1">
      <c r="A214" s="252">
        <v>915</v>
      </c>
      <c r="B214" s="252" t="s">
        <v>1245</v>
      </c>
      <c r="C214" s="252" t="s">
        <v>1246</v>
      </c>
      <c r="D214" s="118" t="s">
        <v>46</v>
      </c>
      <c r="E214" s="252" t="s">
        <v>1247</v>
      </c>
      <c r="F214" s="252">
        <v>1578</v>
      </c>
      <c r="G214" s="252"/>
      <c r="H214" s="252" t="s">
        <v>1248</v>
      </c>
      <c r="I214" s="252" t="s">
        <v>57</v>
      </c>
      <c r="J214" s="252" t="s">
        <v>1245</v>
      </c>
      <c r="K214" s="252" t="s">
        <v>263</v>
      </c>
      <c r="L214" s="252" t="s">
        <v>51</v>
      </c>
    </row>
    <row r="215" spans="1:12" hidden="1">
      <c r="A215" s="252">
        <v>916</v>
      </c>
      <c r="B215" s="252" t="s">
        <v>1249</v>
      </c>
      <c r="C215" s="252" t="s">
        <v>1250</v>
      </c>
      <c r="D215" s="118" t="s">
        <v>91</v>
      </c>
      <c r="E215" s="252" t="s">
        <v>1251</v>
      </c>
      <c r="F215" s="252">
        <v>2418</v>
      </c>
      <c r="G215" s="252" t="s">
        <v>1252</v>
      </c>
      <c r="H215" s="252" t="s">
        <v>1253</v>
      </c>
      <c r="I215" s="252" t="s">
        <v>1254</v>
      </c>
      <c r="J215" s="252" t="s">
        <v>1255</v>
      </c>
      <c r="K215" s="252" t="s">
        <v>969</v>
      </c>
      <c r="L215" s="252" t="s">
        <v>59</v>
      </c>
    </row>
    <row r="216" spans="1:12" hidden="1">
      <c r="A216" s="252">
        <v>919</v>
      </c>
      <c r="B216" s="252" t="s">
        <v>1256</v>
      </c>
      <c r="C216" s="252" t="s">
        <v>1257</v>
      </c>
      <c r="D216" s="118" t="s">
        <v>91</v>
      </c>
      <c r="E216" s="252" t="s">
        <v>1258</v>
      </c>
      <c r="F216" s="252">
        <v>3901</v>
      </c>
      <c r="G216" s="252" t="s">
        <v>1259</v>
      </c>
      <c r="H216" s="252" t="s">
        <v>1260</v>
      </c>
      <c r="I216" s="252" t="s">
        <v>1261</v>
      </c>
      <c r="J216" s="252" t="s">
        <v>173</v>
      </c>
      <c r="K216" s="252" t="s">
        <v>64</v>
      </c>
      <c r="L216" s="252" t="s">
        <v>65</v>
      </c>
    </row>
    <row r="217" spans="1:12" hidden="1">
      <c r="A217" s="252">
        <v>921</v>
      </c>
      <c r="B217" s="252" t="s">
        <v>1262</v>
      </c>
      <c r="C217" s="252" t="s">
        <v>1263</v>
      </c>
      <c r="D217" s="118" t="s">
        <v>91</v>
      </c>
      <c r="E217" s="252" t="s">
        <v>1264</v>
      </c>
      <c r="F217" s="252">
        <v>3000</v>
      </c>
      <c r="G217" s="252" t="s">
        <v>1265</v>
      </c>
      <c r="H217" s="252" t="s">
        <v>1266</v>
      </c>
      <c r="I217" s="252" t="s">
        <v>1267</v>
      </c>
      <c r="J217" s="252" t="s">
        <v>1268</v>
      </c>
      <c r="K217" s="252" t="s">
        <v>112</v>
      </c>
      <c r="L217" s="252" t="s">
        <v>65</v>
      </c>
    </row>
    <row r="218" spans="1:12" hidden="1">
      <c r="A218" s="252">
        <v>922</v>
      </c>
      <c r="B218" s="252" t="s">
        <v>1269</v>
      </c>
      <c r="C218" s="252" t="s">
        <v>1270</v>
      </c>
      <c r="D218" s="118" t="s">
        <v>46</v>
      </c>
      <c r="E218" s="252" t="s">
        <v>1271</v>
      </c>
      <c r="F218" s="252">
        <v>125</v>
      </c>
      <c r="G218" s="252" t="s">
        <v>1272</v>
      </c>
      <c r="H218" s="252" t="s">
        <v>1273</v>
      </c>
      <c r="I218" s="252" t="s">
        <v>57</v>
      </c>
      <c r="J218" s="252" t="s">
        <v>1269</v>
      </c>
      <c r="K218" s="252" t="s">
        <v>459</v>
      </c>
      <c r="L218" s="252" t="s">
        <v>65</v>
      </c>
    </row>
    <row r="219" spans="1:12" hidden="1">
      <c r="A219" s="252">
        <v>924</v>
      </c>
      <c r="B219" s="252" t="s">
        <v>1274</v>
      </c>
      <c r="C219" s="252" t="s">
        <v>1275</v>
      </c>
      <c r="D219" s="118" t="s">
        <v>91</v>
      </c>
      <c r="E219" s="252" t="s">
        <v>1276</v>
      </c>
      <c r="F219" s="252">
        <v>823</v>
      </c>
      <c r="G219" s="252" t="s">
        <v>1277</v>
      </c>
      <c r="H219" s="252" t="s">
        <v>1278</v>
      </c>
      <c r="I219" s="252" t="s">
        <v>57</v>
      </c>
      <c r="J219" s="252" t="s">
        <v>1279</v>
      </c>
      <c r="K219" s="252" t="s">
        <v>58</v>
      </c>
      <c r="L219" s="252" t="s">
        <v>59</v>
      </c>
    </row>
    <row r="220" spans="1:12" hidden="1">
      <c r="A220" s="252">
        <v>925</v>
      </c>
      <c r="B220" s="252" t="s">
        <v>1280</v>
      </c>
      <c r="C220" s="252" t="s">
        <v>1281</v>
      </c>
      <c r="D220" s="118" t="s">
        <v>91</v>
      </c>
      <c r="E220" s="252" t="s">
        <v>1282</v>
      </c>
      <c r="F220" s="252">
        <v>419</v>
      </c>
      <c r="G220" s="252" t="s">
        <v>1283</v>
      </c>
      <c r="H220" s="252" t="s">
        <v>1284</v>
      </c>
      <c r="I220" s="252" t="s">
        <v>1285</v>
      </c>
      <c r="J220" s="252" t="s">
        <v>238</v>
      </c>
      <c r="K220" s="252" t="s">
        <v>239</v>
      </c>
      <c r="L220" s="252" t="s">
        <v>65</v>
      </c>
    </row>
    <row r="221" spans="1:12" hidden="1">
      <c r="A221" s="252">
        <v>926</v>
      </c>
      <c r="B221" s="252" t="s">
        <v>1286</v>
      </c>
      <c r="C221" s="252" t="s">
        <v>1287</v>
      </c>
      <c r="D221" s="118" t="s">
        <v>91</v>
      </c>
      <c r="E221" s="252" t="s">
        <v>1288</v>
      </c>
      <c r="F221" s="252" t="s">
        <v>147</v>
      </c>
      <c r="G221" s="252" t="s">
        <v>1289</v>
      </c>
      <c r="H221" s="252" t="s">
        <v>1290</v>
      </c>
      <c r="I221" s="252" t="s">
        <v>1291</v>
      </c>
      <c r="J221" s="252" t="s">
        <v>466</v>
      </c>
      <c r="K221" s="252" t="s">
        <v>112</v>
      </c>
      <c r="L221" s="252" t="s">
        <v>65</v>
      </c>
    </row>
    <row r="222" spans="1:12" hidden="1">
      <c r="A222" s="252">
        <v>929</v>
      </c>
      <c r="B222" s="252" t="s">
        <v>1292</v>
      </c>
      <c r="C222" s="252" t="s">
        <v>1293</v>
      </c>
      <c r="D222" s="118" t="s">
        <v>91</v>
      </c>
      <c r="E222" s="252" t="s">
        <v>1294</v>
      </c>
      <c r="F222" s="252">
        <v>850</v>
      </c>
      <c r="G222" s="252" t="s">
        <v>1295</v>
      </c>
      <c r="H222" s="252" t="s">
        <v>1296</v>
      </c>
      <c r="I222" s="252" t="s">
        <v>1297</v>
      </c>
      <c r="J222" s="252" t="s">
        <v>428</v>
      </c>
      <c r="K222" s="252" t="s">
        <v>251</v>
      </c>
      <c r="L222" s="252" t="s">
        <v>59</v>
      </c>
    </row>
    <row r="223" spans="1:12" hidden="1">
      <c r="A223" s="252">
        <v>930</v>
      </c>
      <c r="B223" s="252" t="s">
        <v>1298</v>
      </c>
      <c r="C223" s="252" t="s">
        <v>1299</v>
      </c>
      <c r="D223" s="118" t="s">
        <v>91</v>
      </c>
      <c r="E223" s="252" t="s">
        <v>1300</v>
      </c>
      <c r="F223" s="252">
        <v>150</v>
      </c>
      <c r="G223" s="252" t="s">
        <v>1301</v>
      </c>
      <c r="H223" s="252" t="s">
        <v>1302</v>
      </c>
      <c r="I223" s="252" t="s">
        <v>1303</v>
      </c>
      <c r="J223" s="252" t="s">
        <v>1044</v>
      </c>
      <c r="K223" s="252" t="s">
        <v>263</v>
      </c>
      <c r="L223" s="252" t="s">
        <v>51</v>
      </c>
    </row>
    <row r="224" spans="1:12" hidden="1">
      <c r="A224" s="252">
        <v>934</v>
      </c>
      <c r="B224" s="252" t="s">
        <v>1304</v>
      </c>
      <c r="C224" s="252" t="s">
        <v>1305</v>
      </c>
      <c r="D224" s="118" t="s">
        <v>91</v>
      </c>
      <c r="E224" s="252" t="s">
        <v>1306</v>
      </c>
      <c r="F224" s="252">
        <v>8303</v>
      </c>
      <c r="G224" s="252" t="s">
        <v>1307</v>
      </c>
      <c r="H224" s="252" t="s">
        <v>1308</v>
      </c>
      <c r="I224" s="252" t="s">
        <v>1309</v>
      </c>
      <c r="J224" s="252" t="s">
        <v>158</v>
      </c>
      <c r="K224" s="252" t="s">
        <v>159</v>
      </c>
      <c r="L224" s="252" t="s">
        <v>130</v>
      </c>
    </row>
    <row r="225" spans="1:12" hidden="1">
      <c r="A225" s="252">
        <v>936</v>
      </c>
      <c r="B225" s="252" t="s">
        <v>1310</v>
      </c>
      <c r="C225" s="252" t="s">
        <v>1311</v>
      </c>
      <c r="D225" s="118" t="s">
        <v>91</v>
      </c>
      <c r="E225" s="252" t="s">
        <v>606</v>
      </c>
      <c r="F225" s="252">
        <v>89</v>
      </c>
      <c r="G225" s="252" t="s">
        <v>1312</v>
      </c>
      <c r="H225" s="252" t="s">
        <v>1313</v>
      </c>
      <c r="I225" s="252" t="s">
        <v>57</v>
      </c>
      <c r="J225" s="252" t="s">
        <v>1314</v>
      </c>
      <c r="K225" s="252" t="s">
        <v>58</v>
      </c>
      <c r="L225" s="252" t="s">
        <v>59</v>
      </c>
    </row>
    <row r="226" spans="1:12" hidden="1">
      <c r="A226" s="252">
        <v>938</v>
      </c>
      <c r="B226" s="252" t="s">
        <v>1315</v>
      </c>
      <c r="C226" s="252" t="s">
        <v>1316</v>
      </c>
      <c r="D226" s="118" t="s">
        <v>91</v>
      </c>
      <c r="E226" s="252" t="s">
        <v>1317</v>
      </c>
      <c r="F226" s="252">
        <v>1359</v>
      </c>
      <c r="G226" s="252" t="s">
        <v>1318</v>
      </c>
      <c r="H226" s="252" t="s">
        <v>1319</v>
      </c>
      <c r="I226" s="252" t="s">
        <v>665</v>
      </c>
      <c r="J226" s="252" t="s">
        <v>309</v>
      </c>
      <c r="K226" s="252" t="s">
        <v>314</v>
      </c>
      <c r="L226" s="252" t="s">
        <v>195</v>
      </c>
    </row>
    <row r="227" spans="1:12" hidden="1">
      <c r="A227" s="252">
        <v>939</v>
      </c>
      <c r="B227" s="252" t="s">
        <v>1320</v>
      </c>
      <c r="C227" s="252" t="s">
        <v>1321</v>
      </c>
      <c r="D227" s="118" t="s">
        <v>91</v>
      </c>
      <c r="E227" s="252" t="s">
        <v>1322</v>
      </c>
      <c r="F227" s="252">
        <v>1465</v>
      </c>
      <c r="G227" s="252" t="s">
        <v>1323</v>
      </c>
      <c r="H227" s="252" t="s">
        <v>1324</v>
      </c>
      <c r="I227" s="252" t="s">
        <v>1325</v>
      </c>
      <c r="J227" s="252" t="s">
        <v>95</v>
      </c>
      <c r="K227" s="252" t="s">
        <v>58</v>
      </c>
      <c r="L227" s="252" t="s">
        <v>59</v>
      </c>
    </row>
    <row r="228" spans="1:12" hidden="1">
      <c r="A228" s="252">
        <v>940</v>
      </c>
      <c r="B228" s="252" t="s">
        <v>1326</v>
      </c>
      <c r="C228" s="252" t="s">
        <v>1327</v>
      </c>
      <c r="D228" s="118" t="s">
        <v>46</v>
      </c>
      <c r="E228" s="252" t="s">
        <v>1328</v>
      </c>
      <c r="F228" s="252">
        <v>9</v>
      </c>
      <c r="G228" s="252" t="s">
        <v>1329</v>
      </c>
      <c r="H228" s="252" t="s">
        <v>1330</v>
      </c>
      <c r="I228" s="252" t="s">
        <v>57</v>
      </c>
      <c r="J228" s="252" t="s">
        <v>1326</v>
      </c>
      <c r="K228" s="252" t="s">
        <v>120</v>
      </c>
      <c r="L228" s="252" t="s">
        <v>59</v>
      </c>
    </row>
    <row r="229" spans="1:12" hidden="1">
      <c r="A229" s="252">
        <v>943</v>
      </c>
      <c r="B229" s="252" t="s">
        <v>1331</v>
      </c>
      <c r="C229" s="252" t="s">
        <v>1332</v>
      </c>
      <c r="D229" s="118" t="s">
        <v>46</v>
      </c>
      <c r="E229" s="252" t="s">
        <v>1333</v>
      </c>
      <c r="F229" s="252">
        <v>2405</v>
      </c>
      <c r="G229" s="252"/>
      <c r="H229" s="252" t="s">
        <v>1334</v>
      </c>
      <c r="I229" s="252" t="s">
        <v>57</v>
      </c>
      <c r="J229" s="252" t="s">
        <v>1331</v>
      </c>
      <c r="K229" s="252" t="s">
        <v>328</v>
      </c>
      <c r="L229" s="252" t="s">
        <v>195</v>
      </c>
    </row>
    <row r="230" spans="1:12" hidden="1">
      <c r="A230" s="252">
        <v>944</v>
      </c>
      <c r="B230" s="252" t="s">
        <v>1335</v>
      </c>
      <c r="C230" s="252" t="s">
        <v>1336</v>
      </c>
      <c r="D230" s="118" t="s">
        <v>91</v>
      </c>
      <c r="E230" s="252" t="s">
        <v>1337</v>
      </c>
      <c r="F230" s="252">
        <v>1000</v>
      </c>
      <c r="G230" s="252"/>
      <c r="H230" s="252" t="s">
        <v>1338</v>
      </c>
      <c r="I230" s="252" t="s">
        <v>1339</v>
      </c>
      <c r="J230" s="252" t="s">
        <v>70</v>
      </c>
      <c r="K230" s="252" t="s">
        <v>71</v>
      </c>
      <c r="L230" s="252" t="s">
        <v>65</v>
      </c>
    </row>
    <row r="231" spans="1:12" hidden="1">
      <c r="A231" s="252">
        <v>951</v>
      </c>
      <c r="B231" s="252" t="s">
        <v>1340</v>
      </c>
      <c r="C231" s="252" t="s">
        <v>1341</v>
      </c>
      <c r="D231" s="118" t="s">
        <v>91</v>
      </c>
      <c r="E231" s="252" t="s">
        <v>1342</v>
      </c>
      <c r="F231" s="252">
        <v>1000</v>
      </c>
      <c r="G231" s="252" t="s">
        <v>1343</v>
      </c>
      <c r="H231" s="252" t="s">
        <v>1344</v>
      </c>
      <c r="I231" s="252" t="s">
        <v>1345</v>
      </c>
      <c r="J231" s="252" t="s">
        <v>76</v>
      </c>
      <c r="K231" s="252" t="s">
        <v>77</v>
      </c>
      <c r="L231" s="252" t="s">
        <v>65</v>
      </c>
    </row>
    <row r="232" spans="1:12" hidden="1">
      <c r="A232" s="252">
        <v>957</v>
      </c>
      <c r="B232" s="252" t="s">
        <v>1346</v>
      </c>
      <c r="C232" s="252" t="s">
        <v>1347</v>
      </c>
      <c r="D232" s="118" t="s">
        <v>91</v>
      </c>
      <c r="E232" s="252" t="s">
        <v>1348</v>
      </c>
      <c r="F232" s="252">
        <v>1762</v>
      </c>
      <c r="G232" s="252" t="s">
        <v>1349</v>
      </c>
      <c r="H232" s="252" t="s">
        <v>1350</v>
      </c>
      <c r="I232" s="252" t="s">
        <v>665</v>
      </c>
      <c r="J232" s="252" t="s">
        <v>309</v>
      </c>
      <c r="K232" s="252" t="s">
        <v>314</v>
      </c>
      <c r="L232" s="252" t="s">
        <v>195</v>
      </c>
    </row>
    <row r="233" spans="1:12" hidden="1">
      <c r="A233" s="252">
        <v>958</v>
      </c>
      <c r="B233" s="252" t="s">
        <v>1351</v>
      </c>
      <c r="C233" s="252" t="s">
        <v>1352</v>
      </c>
      <c r="D233" s="118" t="s">
        <v>91</v>
      </c>
      <c r="E233" s="252" t="s">
        <v>1353</v>
      </c>
      <c r="F233" s="252">
        <v>1111</v>
      </c>
      <c r="G233" s="252" t="s">
        <v>1354</v>
      </c>
      <c r="H233" s="252" t="s">
        <v>1355</v>
      </c>
      <c r="I233" s="252" t="s">
        <v>435</v>
      </c>
      <c r="J233" s="252" t="s">
        <v>435</v>
      </c>
      <c r="K233" s="252" t="s">
        <v>120</v>
      </c>
      <c r="L233" s="252" t="s">
        <v>59</v>
      </c>
    </row>
  </sheetData>
  <sheetProtection sheet="1" objects="1" scenarios="1"/>
  <autoFilter ref="A1:L233" xr:uid="{A044D817-339C-4A32-A026-8C6FD6060E2B}">
    <filterColumn colId="0">
      <filters>
        <filter val="64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7D83-D306-470E-951A-56DD871DC8ED}">
  <dimension ref="A1:K234"/>
  <sheetViews>
    <sheetView topLeftCell="A218" workbookViewId="0">
      <selection activeCell="F241" sqref="F241"/>
    </sheetView>
  </sheetViews>
  <sheetFormatPr defaultRowHeight="15"/>
  <cols>
    <col min="1" max="1" width="4.28515625" bestFit="1" customWidth="1"/>
    <col min="2" max="2" width="20.85546875" customWidth="1"/>
    <col min="3" max="3" width="13.7109375" bestFit="1" customWidth="1"/>
    <col min="4" max="4" width="13.42578125" bestFit="1" customWidth="1"/>
    <col min="5" max="6" width="13.42578125" customWidth="1"/>
    <col min="7" max="7" width="6.7109375" customWidth="1"/>
    <col min="8" max="8" width="17.7109375" bestFit="1" customWidth="1"/>
    <col min="9" max="9" width="13.28515625" bestFit="1" customWidth="1"/>
    <col min="11" max="11" width="12.42578125" bestFit="1" customWidth="1"/>
  </cols>
  <sheetData>
    <row r="1" spans="1:11">
      <c r="A1" s="254" t="s">
        <v>4</v>
      </c>
      <c r="B1" s="254" t="s">
        <v>33</v>
      </c>
      <c r="C1" s="254" t="s">
        <v>34</v>
      </c>
      <c r="D1" s="264" t="s">
        <v>1356</v>
      </c>
      <c r="E1" s="257" t="s">
        <v>1357</v>
      </c>
      <c r="F1" t="s">
        <v>14</v>
      </c>
      <c r="G1" s="255"/>
      <c r="H1" s="256"/>
      <c r="I1" s="255"/>
      <c r="J1" s="257"/>
    </row>
    <row r="2" spans="1:11">
      <c r="A2" s="252">
        <v>22</v>
      </c>
      <c r="B2" s="252" t="s">
        <v>44</v>
      </c>
      <c r="C2" s="252" t="s">
        <v>45</v>
      </c>
      <c r="D2" s="6" t="s">
        <v>1358</v>
      </c>
      <c r="E2" s="6"/>
      <c r="F2" s="6" t="s">
        <v>1358</v>
      </c>
      <c r="G2" s="210"/>
      <c r="H2" s="210"/>
      <c r="I2" s="260"/>
      <c r="J2" s="259"/>
      <c r="K2" s="261"/>
    </row>
    <row r="3" spans="1:11">
      <c r="A3" s="252">
        <v>43</v>
      </c>
      <c r="B3" s="252" t="s">
        <v>52</v>
      </c>
      <c r="C3" s="252" t="s">
        <v>53</v>
      </c>
      <c r="D3" s="6" t="s">
        <v>1358</v>
      </c>
      <c r="E3" s="6"/>
      <c r="F3" s="6" t="s">
        <v>1358</v>
      </c>
      <c r="G3" s="210"/>
      <c r="H3" s="210"/>
      <c r="I3" s="260"/>
      <c r="J3" s="259"/>
      <c r="K3" s="261"/>
    </row>
    <row r="4" spans="1:11">
      <c r="A4" s="252">
        <v>80</v>
      </c>
      <c r="B4" s="252" t="s">
        <v>60</v>
      </c>
      <c r="C4" s="252" t="s">
        <v>61</v>
      </c>
      <c r="D4" s="6" t="s">
        <v>1358</v>
      </c>
      <c r="E4" s="6"/>
      <c r="F4" s="6" t="s">
        <v>1358</v>
      </c>
      <c r="G4" s="210"/>
      <c r="H4" s="210"/>
      <c r="I4" s="258"/>
      <c r="J4" s="259"/>
      <c r="K4" s="261"/>
    </row>
    <row r="5" spans="1:11">
      <c r="A5" s="252">
        <v>87</v>
      </c>
      <c r="B5" s="252" t="s">
        <v>66</v>
      </c>
      <c r="C5" s="252" t="s">
        <v>67</v>
      </c>
      <c r="D5" s="6" t="s">
        <v>1358</v>
      </c>
      <c r="E5" s="6"/>
      <c r="F5" s="6" t="s">
        <v>1358</v>
      </c>
      <c r="G5" s="210"/>
      <c r="H5" s="210"/>
      <c r="I5" s="258"/>
      <c r="J5" s="259"/>
      <c r="K5" s="261"/>
    </row>
    <row r="6" spans="1:11">
      <c r="A6" s="252">
        <v>120</v>
      </c>
      <c r="B6" s="252" t="s">
        <v>72</v>
      </c>
      <c r="C6" s="252" t="s">
        <v>73</v>
      </c>
      <c r="D6" s="6" t="s">
        <v>1358</v>
      </c>
      <c r="E6" s="6"/>
      <c r="F6" s="6" t="s">
        <v>1358</v>
      </c>
      <c r="G6" s="210"/>
      <c r="H6" s="210"/>
      <c r="I6" s="260"/>
      <c r="J6" s="259"/>
      <c r="K6" s="261"/>
    </row>
    <row r="7" spans="1:11">
      <c r="A7" s="252">
        <v>125</v>
      </c>
      <c r="B7" s="252" t="s">
        <v>78</v>
      </c>
      <c r="C7" s="252" t="s">
        <v>79</v>
      </c>
      <c r="D7" s="6" t="s">
        <v>1358</v>
      </c>
      <c r="E7" s="6"/>
      <c r="F7" s="6" t="s">
        <v>1358</v>
      </c>
      <c r="G7" s="210"/>
      <c r="H7" s="261"/>
      <c r="I7" s="262"/>
      <c r="J7" s="263"/>
      <c r="K7" s="261"/>
    </row>
    <row r="8" spans="1:11">
      <c r="A8" s="252">
        <v>130</v>
      </c>
      <c r="B8" s="252" t="s">
        <v>84</v>
      </c>
      <c r="C8" s="252" t="s">
        <v>85</v>
      </c>
      <c r="D8" s="6" t="s">
        <v>1358</v>
      </c>
      <c r="E8" s="6"/>
      <c r="F8" s="6" t="s">
        <v>1358</v>
      </c>
    </row>
    <row r="9" spans="1:11">
      <c r="A9" s="252">
        <v>133</v>
      </c>
      <c r="B9" s="252" t="s">
        <v>89</v>
      </c>
      <c r="C9" s="252" t="s">
        <v>90</v>
      </c>
      <c r="D9" s="6" t="s">
        <v>1358</v>
      </c>
      <c r="E9" s="6"/>
      <c r="F9" s="6" t="s">
        <v>1358</v>
      </c>
    </row>
    <row r="10" spans="1:11">
      <c r="A10" s="252">
        <v>135</v>
      </c>
      <c r="B10" s="252" t="s">
        <v>96</v>
      </c>
      <c r="C10" s="252" t="s">
        <v>97</v>
      </c>
      <c r="D10" s="6" t="s">
        <v>1358</v>
      </c>
      <c r="E10" s="6"/>
      <c r="F10" s="6" t="s">
        <v>1358</v>
      </c>
    </row>
    <row r="11" spans="1:11">
      <c r="A11" s="252">
        <v>136</v>
      </c>
      <c r="B11" s="252" t="s">
        <v>101</v>
      </c>
      <c r="C11" s="252" t="s">
        <v>102</v>
      </c>
      <c r="D11" s="6" t="s">
        <v>1358</v>
      </c>
      <c r="E11" s="6"/>
      <c r="F11" s="6" t="s">
        <v>1358</v>
      </c>
    </row>
    <row r="12" spans="1:11">
      <c r="A12" s="252">
        <v>140</v>
      </c>
      <c r="B12" s="252" t="s">
        <v>106</v>
      </c>
      <c r="C12" s="252" t="s">
        <v>107</v>
      </c>
      <c r="D12" s="6" t="s">
        <v>1358</v>
      </c>
      <c r="E12" s="6"/>
      <c r="F12" s="6" t="s">
        <v>1358</v>
      </c>
    </row>
    <row r="13" spans="1:11">
      <c r="A13" s="252">
        <v>142</v>
      </c>
      <c r="B13" s="252" t="s">
        <v>113</v>
      </c>
      <c r="C13" s="252" t="s">
        <v>114</v>
      </c>
      <c r="D13" s="6" t="s">
        <v>1358</v>
      </c>
      <c r="E13" s="6"/>
      <c r="F13" s="6" t="s">
        <v>1358</v>
      </c>
    </row>
    <row r="14" spans="1:11">
      <c r="A14" s="252">
        <v>150</v>
      </c>
      <c r="B14" s="252" t="s">
        <v>121</v>
      </c>
      <c r="C14" s="252" t="s">
        <v>122</v>
      </c>
      <c r="D14" s="6" t="s">
        <v>1358</v>
      </c>
      <c r="E14" s="6"/>
      <c r="F14" s="6" t="s">
        <v>1358</v>
      </c>
      <c r="G14" s="265"/>
      <c r="H14" s="265"/>
      <c r="I14" s="265"/>
      <c r="J14" s="265"/>
      <c r="K14" s="265"/>
    </row>
    <row r="15" spans="1:11">
      <c r="A15" s="252">
        <v>160</v>
      </c>
      <c r="B15" s="252" t="s">
        <v>131</v>
      </c>
      <c r="C15" s="252" t="s">
        <v>132</v>
      </c>
      <c r="D15" s="6" t="s">
        <v>1358</v>
      </c>
      <c r="E15" s="6"/>
      <c r="F15" s="6" t="s">
        <v>1358</v>
      </c>
    </row>
    <row r="16" spans="1:11">
      <c r="A16" s="252">
        <v>165</v>
      </c>
      <c r="B16" s="252" t="s">
        <v>137</v>
      </c>
      <c r="C16" s="252" t="s">
        <v>138</v>
      </c>
      <c r="D16" s="6" t="s">
        <v>1358</v>
      </c>
      <c r="E16" s="6"/>
      <c r="F16" s="6" t="s">
        <v>1358</v>
      </c>
    </row>
    <row r="17" spans="1:11">
      <c r="A17" s="252">
        <v>176</v>
      </c>
      <c r="B17" s="252" t="s">
        <v>144</v>
      </c>
      <c r="C17" s="252" t="s">
        <v>145</v>
      </c>
      <c r="D17" s="6" t="s">
        <v>1358</v>
      </c>
      <c r="E17" s="6"/>
      <c r="F17" s="6" t="s">
        <v>1358</v>
      </c>
    </row>
    <row r="18" spans="1:11">
      <c r="A18" s="252">
        <v>178</v>
      </c>
      <c r="B18" s="252" t="s">
        <v>152</v>
      </c>
      <c r="C18" s="252" t="s">
        <v>153</v>
      </c>
      <c r="D18" s="6" t="s">
        <v>1358</v>
      </c>
      <c r="E18" s="6"/>
      <c r="F18" s="6" t="s">
        <v>1358</v>
      </c>
    </row>
    <row r="19" spans="1:11">
      <c r="A19" s="252">
        <v>180</v>
      </c>
      <c r="B19" s="252" t="s">
        <v>160</v>
      </c>
      <c r="C19" s="252" t="s">
        <v>161</v>
      </c>
      <c r="D19" s="266" t="s">
        <v>1359</v>
      </c>
      <c r="E19" s="259">
        <v>23.47570862181194</v>
      </c>
      <c r="F19" s="261" t="s">
        <v>1360</v>
      </c>
    </row>
    <row r="20" spans="1:11">
      <c r="A20" s="252">
        <v>196</v>
      </c>
      <c r="B20" s="252" t="s">
        <v>167</v>
      </c>
      <c r="C20" s="252" t="s">
        <v>168</v>
      </c>
      <c r="D20" s="6" t="s">
        <v>1358</v>
      </c>
      <c r="E20" s="6"/>
      <c r="F20" s="6" t="s">
        <v>1358</v>
      </c>
    </row>
    <row r="21" spans="1:11">
      <c r="A21" s="252">
        <v>508</v>
      </c>
      <c r="B21" s="252" t="s">
        <v>174</v>
      </c>
      <c r="C21" s="252" t="s">
        <v>175</v>
      </c>
      <c r="D21" s="6" t="s">
        <v>1358</v>
      </c>
      <c r="E21" s="6"/>
      <c r="F21" s="6" t="s">
        <v>1358</v>
      </c>
    </row>
    <row r="22" spans="1:11">
      <c r="A22" s="252">
        <v>510</v>
      </c>
      <c r="B22" s="252" t="s">
        <v>179</v>
      </c>
      <c r="C22" s="252" t="s">
        <v>180</v>
      </c>
      <c r="D22" s="6" t="s">
        <v>1358</v>
      </c>
      <c r="E22" s="6"/>
      <c r="F22" s="6" t="s">
        <v>1358</v>
      </c>
      <c r="G22" s="265"/>
      <c r="H22" s="265"/>
      <c r="I22" s="265"/>
      <c r="J22" s="265"/>
      <c r="K22" s="265"/>
    </row>
    <row r="23" spans="1:11">
      <c r="A23" s="252">
        <v>512</v>
      </c>
      <c r="B23" s="252" t="s">
        <v>185</v>
      </c>
      <c r="C23" s="252" t="s">
        <v>186</v>
      </c>
      <c r="D23" s="6" t="s">
        <v>1358</v>
      </c>
      <c r="E23" s="6"/>
      <c r="F23" s="6" t="s">
        <v>1358</v>
      </c>
    </row>
    <row r="24" spans="1:11">
      <c r="A24" s="252">
        <v>514</v>
      </c>
      <c r="B24" s="252" t="s">
        <v>190</v>
      </c>
      <c r="C24" s="252" t="s">
        <v>191</v>
      </c>
      <c r="D24" s="6" t="s">
        <v>1358</v>
      </c>
      <c r="E24" s="6"/>
      <c r="F24" s="6" t="s">
        <v>1358</v>
      </c>
    </row>
    <row r="25" spans="1:11">
      <c r="A25" s="252">
        <v>515</v>
      </c>
      <c r="B25" s="252" t="s">
        <v>196</v>
      </c>
      <c r="C25" s="252" t="s">
        <v>197</v>
      </c>
      <c r="D25" s="6" t="s">
        <v>1358</v>
      </c>
      <c r="E25" s="6"/>
      <c r="F25" s="6" t="s">
        <v>1358</v>
      </c>
    </row>
    <row r="26" spans="1:11">
      <c r="A26" s="252">
        <v>517</v>
      </c>
      <c r="B26" s="252" t="s">
        <v>200</v>
      </c>
      <c r="C26" s="252" t="s">
        <v>201</v>
      </c>
      <c r="D26" s="6" t="s">
        <v>1358</v>
      </c>
      <c r="E26" s="6"/>
      <c r="F26" s="6" t="s">
        <v>1358</v>
      </c>
    </row>
    <row r="27" spans="1:11">
      <c r="A27" s="252">
        <v>518</v>
      </c>
      <c r="B27" s="252" t="s">
        <v>205</v>
      </c>
      <c r="C27" s="252" t="s">
        <v>206</v>
      </c>
      <c r="D27" s="6" t="s">
        <v>1358</v>
      </c>
      <c r="E27" s="6"/>
      <c r="F27" s="6" t="s">
        <v>1358</v>
      </c>
    </row>
    <row r="28" spans="1:11">
      <c r="A28" s="252">
        <v>519</v>
      </c>
      <c r="B28" s="252" t="s">
        <v>210</v>
      </c>
      <c r="C28" s="252" t="s">
        <v>211</v>
      </c>
      <c r="D28" s="6" t="s">
        <v>1358</v>
      </c>
      <c r="E28" s="6"/>
      <c r="F28" s="6" t="s">
        <v>1358</v>
      </c>
    </row>
    <row r="29" spans="1:11">
      <c r="A29" s="252">
        <v>520</v>
      </c>
      <c r="B29" s="252" t="s">
        <v>216</v>
      </c>
      <c r="C29" s="252" t="s">
        <v>217</v>
      </c>
      <c r="D29" s="6" t="s">
        <v>1358</v>
      </c>
      <c r="E29" s="6"/>
      <c r="F29" s="6" t="s">
        <v>1358</v>
      </c>
    </row>
    <row r="30" spans="1:11">
      <c r="A30" s="252">
        <v>525</v>
      </c>
      <c r="B30" s="252" t="s">
        <v>222</v>
      </c>
      <c r="C30" s="252" t="s">
        <v>223</v>
      </c>
      <c r="D30" s="6" t="s">
        <v>1358</v>
      </c>
      <c r="E30" s="6"/>
      <c r="F30" s="6" t="s">
        <v>1358</v>
      </c>
    </row>
    <row r="31" spans="1:11">
      <c r="A31" s="252">
        <v>526</v>
      </c>
      <c r="B31" s="252" t="s">
        <v>228</v>
      </c>
      <c r="C31" s="252" t="s">
        <v>229</v>
      </c>
      <c r="D31" s="6" t="s">
        <v>1358</v>
      </c>
      <c r="E31" s="6"/>
      <c r="F31" s="6" t="s">
        <v>1358</v>
      </c>
    </row>
    <row r="32" spans="1:11">
      <c r="A32" s="252">
        <v>527</v>
      </c>
      <c r="B32" s="252" t="s">
        <v>233</v>
      </c>
      <c r="C32" s="252" t="s">
        <v>234</v>
      </c>
      <c r="D32" s="260" t="s">
        <v>1361</v>
      </c>
      <c r="E32" s="259">
        <v>28.76</v>
      </c>
      <c r="F32" s="261" t="s">
        <v>1362</v>
      </c>
    </row>
    <row r="33" spans="1:11">
      <c r="A33" s="252">
        <v>529</v>
      </c>
      <c r="B33" s="252" t="s">
        <v>240</v>
      </c>
      <c r="C33" s="252" t="s">
        <v>241</v>
      </c>
      <c r="D33" s="6" t="s">
        <v>1358</v>
      </c>
      <c r="E33" s="6"/>
      <c r="F33" s="6" t="s">
        <v>1358</v>
      </c>
    </row>
    <row r="34" spans="1:11">
      <c r="A34" s="252">
        <v>531</v>
      </c>
      <c r="B34" s="252" t="s">
        <v>244</v>
      </c>
      <c r="C34" s="252" t="s">
        <v>245</v>
      </c>
      <c r="D34" s="6" t="s">
        <v>1358</v>
      </c>
      <c r="E34" s="6"/>
      <c r="F34" s="6" t="s">
        <v>1358</v>
      </c>
    </row>
    <row r="35" spans="1:11" s="265" customFormat="1">
      <c r="A35" s="253">
        <v>534</v>
      </c>
      <c r="B35" s="253" t="s">
        <v>252</v>
      </c>
      <c r="C35" s="253" t="s">
        <v>253</v>
      </c>
      <c r="D35" s="6" t="s">
        <v>1358</v>
      </c>
      <c r="E35" s="6"/>
      <c r="F35" s="6" t="s">
        <v>1358</v>
      </c>
      <c r="G35"/>
      <c r="H35"/>
      <c r="I35"/>
      <c r="J35"/>
      <c r="K35"/>
    </row>
    <row r="36" spans="1:11">
      <c r="A36" s="252">
        <v>535</v>
      </c>
      <c r="B36" s="252" t="s">
        <v>259</v>
      </c>
      <c r="C36" s="252" t="s">
        <v>260</v>
      </c>
      <c r="D36" s="6" t="s">
        <v>1358</v>
      </c>
      <c r="E36" s="6"/>
      <c r="F36" s="6" t="s">
        <v>1358</v>
      </c>
      <c r="G36" s="265"/>
      <c r="H36" s="265"/>
      <c r="I36" s="265"/>
      <c r="J36" s="265"/>
      <c r="K36" s="265"/>
    </row>
    <row r="37" spans="1:11">
      <c r="A37" s="252">
        <v>536</v>
      </c>
      <c r="B37" s="252" t="s">
        <v>264</v>
      </c>
      <c r="C37" s="252" t="s">
        <v>265</v>
      </c>
      <c r="D37" s="6" t="s">
        <v>1358</v>
      </c>
      <c r="E37" s="6"/>
      <c r="F37" s="6" t="s">
        <v>1358</v>
      </c>
      <c r="G37" s="265"/>
      <c r="H37" s="265"/>
      <c r="I37" s="265"/>
      <c r="J37" s="265"/>
      <c r="K37" s="265"/>
    </row>
    <row r="38" spans="1:11">
      <c r="A38" s="252">
        <v>543</v>
      </c>
      <c r="B38" s="252" t="s">
        <v>94</v>
      </c>
      <c r="C38" s="252" t="s">
        <v>268</v>
      </c>
      <c r="D38" s="6" t="s">
        <v>1358</v>
      </c>
      <c r="E38" s="6"/>
      <c r="F38" s="6" t="s">
        <v>1358</v>
      </c>
    </row>
    <row r="39" spans="1:11">
      <c r="A39" s="252">
        <v>544</v>
      </c>
      <c r="B39" s="252" t="s">
        <v>272</v>
      </c>
      <c r="C39" s="252" t="s">
        <v>273</v>
      </c>
      <c r="D39" s="6" t="s">
        <v>1358</v>
      </c>
      <c r="E39" s="6"/>
      <c r="F39" s="6" t="s">
        <v>1358</v>
      </c>
    </row>
    <row r="40" spans="1:11">
      <c r="A40" s="252">
        <v>546</v>
      </c>
      <c r="B40" s="252" t="s">
        <v>278</v>
      </c>
      <c r="C40" s="252" t="s">
        <v>279</v>
      </c>
      <c r="D40" s="6" t="s">
        <v>1358</v>
      </c>
      <c r="E40" s="6"/>
      <c r="F40" s="6" t="s">
        <v>1358</v>
      </c>
      <c r="G40" s="265"/>
      <c r="H40" s="265"/>
      <c r="I40" s="265"/>
      <c r="J40" s="265"/>
      <c r="K40" s="265"/>
    </row>
    <row r="41" spans="1:11">
      <c r="A41" s="252">
        <v>547</v>
      </c>
      <c r="B41" s="252" t="s">
        <v>282</v>
      </c>
      <c r="C41" s="252" t="s">
        <v>283</v>
      </c>
      <c r="D41" s="262">
        <v>1332086499</v>
      </c>
      <c r="E41" s="263">
        <v>86.55</v>
      </c>
      <c r="F41" s="261" t="s">
        <v>1362</v>
      </c>
    </row>
    <row r="42" spans="1:11">
      <c r="A42" s="252">
        <v>548</v>
      </c>
      <c r="B42" s="252" t="s">
        <v>287</v>
      </c>
      <c r="C42" s="252" t="s">
        <v>288</v>
      </c>
      <c r="D42" s="6" t="s">
        <v>1358</v>
      </c>
      <c r="E42" s="6"/>
      <c r="F42" s="6" t="s">
        <v>1358</v>
      </c>
    </row>
    <row r="43" spans="1:11">
      <c r="A43" s="252">
        <v>549</v>
      </c>
      <c r="B43" s="252" t="s">
        <v>292</v>
      </c>
      <c r="C43" s="252" t="s">
        <v>293</v>
      </c>
      <c r="D43" s="6" t="s">
        <v>1358</v>
      </c>
      <c r="E43" s="6"/>
      <c r="F43" s="6" t="s">
        <v>1358</v>
      </c>
    </row>
    <row r="44" spans="1:11">
      <c r="A44" s="252">
        <v>550</v>
      </c>
      <c r="B44" s="252" t="s">
        <v>151</v>
      </c>
      <c r="C44" s="252" t="s">
        <v>297</v>
      </c>
      <c r="D44" s="6" t="s">
        <v>1358</v>
      </c>
      <c r="E44" s="6"/>
      <c r="F44" s="6" t="s">
        <v>1358</v>
      </c>
    </row>
    <row r="45" spans="1:11">
      <c r="A45" s="252">
        <v>553</v>
      </c>
      <c r="B45" s="252" t="s">
        <v>301</v>
      </c>
      <c r="C45" s="252" t="s">
        <v>302</v>
      </c>
      <c r="D45" s="6" t="s">
        <v>1358</v>
      </c>
      <c r="E45" s="6"/>
      <c r="F45" s="6" t="s">
        <v>1358</v>
      </c>
    </row>
    <row r="46" spans="1:11">
      <c r="A46" s="252">
        <v>558</v>
      </c>
      <c r="B46" s="252" t="s">
        <v>309</v>
      </c>
      <c r="C46" s="252" t="s">
        <v>310</v>
      </c>
      <c r="D46" s="6" t="s">
        <v>1358</v>
      </c>
      <c r="E46" s="6"/>
      <c r="F46" s="6" t="s">
        <v>1358</v>
      </c>
    </row>
    <row r="47" spans="1:11">
      <c r="A47" s="252">
        <v>559</v>
      </c>
      <c r="B47" s="252" t="s">
        <v>315</v>
      </c>
      <c r="C47" s="252" t="s">
        <v>316</v>
      </c>
      <c r="D47" s="6" t="s">
        <v>1358</v>
      </c>
      <c r="E47" s="6"/>
      <c r="F47" s="6" t="s">
        <v>1358</v>
      </c>
    </row>
    <row r="48" spans="1:11">
      <c r="A48" s="252">
        <v>560</v>
      </c>
      <c r="B48" s="252" t="s">
        <v>321</v>
      </c>
      <c r="C48" s="252" t="s">
        <v>322</v>
      </c>
      <c r="D48" s="260">
        <v>9133445080</v>
      </c>
      <c r="E48" s="259">
        <v>28.72</v>
      </c>
      <c r="F48" s="261" t="s">
        <v>1362</v>
      </c>
    </row>
    <row r="49" spans="1:11">
      <c r="A49" s="252">
        <v>563</v>
      </c>
      <c r="B49" s="252" t="s">
        <v>329</v>
      </c>
      <c r="C49" s="252" t="s">
        <v>330</v>
      </c>
      <c r="D49" s="6" t="s">
        <v>1358</v>
      </c>
      <c r="E49" s="6"/>
      <c r="F49" s="6" t="s">
        <v>1358</v>
      </c>
    </row>
    <row r="50" spans="1:11">
      <c r="A50" s="252">
        <v>564</v>
      </c>
      <c r="B50" s="252" t="s">
        <v>334</v>
      </c>
      <c r="C50" s="252" t="s">
        <v>335</v>
      </c>
      <c r="D50" s="6" t="s">
        <v>1358</v>
      </c>
      <c r="E50" s="6"/>
      <c r="F50" s="6" t="s">
        <v>1358</v>
      </c>
    </row>
    <row r="51" spans="1:11">
      <c r="A51" s="252">
        <v>565</v>
      </c>
      <c r="B51" s="252" t="s">
        <v>340</v>
      </c>
      <c r="C51" s="252" t="s">
        <v>341</v>
      </c>
      <c r="D51" s="6" t="s">
        <v>1358</v>
      </c>
      <c r="E51" s="6"/>
      <c r="F51" s="6" t="s">
        <v>1358</v>
      </c>
    </row>
    <row r="52" spans="1:11">
      <c r="A52" s="252">
        <v>566</v>
      </c>
      <c r="B52" s="252" t="s">
        <v>347</v>
      </c>
      <c r="C52" s="252" t="s">
        <v>348</v>
      </c>
      <c r="D52" s="6" t="s">
        <v>1358</v>
      </c>
      <c r="E52" s="6"/>
      <c r="F52" s="6" t="s">
        <v>1358</v>
      </c>
    </row>
    <row r="53" spans="1:11">
      <c r="A53" s="252">
        <v>568</v>
      </c>
      <c r="B53" s="252" t="s">
        <v>238</v>
      </c>
      <c r="C53" s="252" t="s">
        <v>355</v>
      </c>
      <c r="D53" s="6" t="s">
        <v>1358</v>
      </c>
      <c r="E53" s="6"/>
      <c r="F53" s="6" t="s">
        <v>1358</v>
      </c>
    </row>
    <row r="54" spans="1:11">
      <c r="A54" s="252">
        <v>571</v>
      </c>
      <c r="B54" s="252" t="s">
        <v>358</v>
      </c>
      <c r="C54" s="252" t="s">
        <v>359</v>
      </c>
      <c r="D54" s="6" t="s">
        <v>1358</v>
      </c>
      <c r="E54" s="6"/>
      <c r="F54" s="6" t="s">
        <v>1358</v>
      </c>
    </row>
    <row r="55" spans="1:11">
      <c r="A55" s="252">
        <v>573</v>
      </c>
      <c r="B55" s="252" t="s">
        <v>143</v>
      </c>
      <c r="C55" s="252" t="s">
        <v>364</v>
      </c>
      <c r="D55" s="6" t="s">
        <v>1358</v>
      </c>
      <c r="E55" s="6"/>
      <c r="F55" s="6" t="s">
        <v>1358</v>
      </c>
    </row>
    <row r="56" spans="1:11">
      <c r="A56" s="252">
        <v>575</v>
      </c>
      <c r="B56" s="252" t="s">
        <v>367</v>
      </c>
      <c r="C56" s="252" t="s">
        <v>368</v>
      </c>
      <c r="D56" s="6" t="s">
        <v>1358</v>
      </c>
      <c r="E56" s="6"/>
      <c r="F56" s="6" t="s">
        <v>1358</v>
      </c>
      <c r="G56" s="265"/>
      <c r="H56" s="265"/>
      <c r="I56" s="265"/>
      <c r="J56" s="265"/>
      <c r="K56" s="265"/>
    </row>
    <row r="57" spans="1:11">
      <c r="A57" s="252">
        <v>576</v>
      </c>
      <c r="B57" s="252" t="s">
        <v>373</v>
      </c>
      <c r="C57" s="252" t="s">
        <v>374</v>
      </c>
      <c r="D57" s="6" t="s">
        <v>1358</v>
      </c>
      <c r="E57" s="6"/>
      <c r="F57" s="6" t="s">
        <v>1358</v>
      </c>
    </row>
    <row r="58" spans="1:11" s="265" customFormat="1">
      <c r="A58" s="253">
        <v>577</v>
      </c>
      <c r="B58" s="253" t="s">
        <v>380</v>
      </c>
      <c r="C58" s="253" t="s">
        <v>381</v>
      </c>
      <c r="D58" s="6" t="s">
        <v>1358</v>
      </c>
      <c r="E58" s="6"/>
      <c r="F58" s="6" t="s">
        <v>1358</v>
      </c>
      <c r="G58"/>
      <c r="H58"/>
      <c r="I58"/>
      <c r="J58"/>
      <c r="K58"/>
    </row>
    <row r="59" spans="1:11">
      <c r="A59" s="252">
        <v>578</v>
      </c>
      <c r="B59" s="252" t="s">
        <v>387</v>
      </c>
      <c r="C59" s="252" t="s">
        <v>388</v>
      </c>
      <c r="D59" s="6" t="s">
        <v>1358</v>
      </c>
      <c r="E59" s="6"/>
      <c r="F59" s="6" t="s">
        <v>1358</v>
      </c>
    </row>
    <row r="60" spans="1:11">
      <c r="A60" s="252">
        <v>579</v>
      </c>
      <c r="B60" s="252" t="s">
        <v>394</v>
      </c>
      <c r="C60" s="252" t="s">
        <v>395</v>
      </c>
      <c r="D60" s="6" t="s">
        <v>1358</v>
      </c>
      <c r="E60" s="6"/>
      <c r="F60" s="6" t="s">
        <v>1358</v>
      </c>
    </row>
    <row r="61" spans="1:11" s="265" customFormat="1">
      <c r="A61" s="253">
        <v>580</v>
      </c>
      <c r="B61" s="253" t="s">
        <v>399</v>
      </c>
      <c r="C61" s="253" t="s">
        <v>400</v>
      </c>
      <c r="D61" s="6" t="s">
        <v>1358</v>
      </c>
      <c r="E61" s="6"/>
      <c r="F61" s="6" t="s">
        <v>1358</v>
      </c>
      <c r="G61"/>
      <c r="H61"/>
      <c r="I61"/>
      <c r="J61"/>
      <c r="K61"/>
    </row>
    <row r="62" spans="1:11">
      <c r="A62" s="252">
        <v>582</v>
      </c>
      <c r="B62" s="252" t="s">
        <v>404</v>
      </c>
      <c r="C62" s="252" t="s">
        <v>405</v>
      </c>
      <c r="D62" s="6" t="s">
        <v>1358</v>
      </c>
      <c r="E62" s="6"/>
      <c r="F62" s="6" t="s">
        <v>1358</v>
      </c>
    </row>
    <row r="63" spans="1:11">
      <c r="A63" s="252">
        <v>583</v>
      </c>
      <c r="B63" s="252" t="s">
        <v>408</v>
      </c>
      <c r="C63" s="252" t="s">
        <v>409</v>
      </c>
      <c r="D63" s="6" t="s">
        <v>1358</v>
      </c>
      <c r="E63" s="6"/>
      <c r="F63" s="6" t="s">
        <v>1358</v>
      </c>
    </row>
    <row r="64" spans="1:11">
      <c r="A64" s="252">
        <v>586</v>
      </c>
      <c r="B64" s="252" t="s">
        <v>414</v>
      </c>
      <c r="C64" s="252" t="s">
        <v>415</v>
      </c>
      <c r="D64" s="6" t="s">
        <v>1358</v>
      </c>
      <c r="E64" s="6"/>
      <c r="F64" s="6" t="s">
        <v>1358</v>
      </c>
    </row>
    <row r="65" spans="1:11">
      <c r="A65" s="252">
        <v>589</v>
      </c>
      <c r="B65" s="252" t="s">
        <v>353</v>
      </c>
      <c r="C65" s="252" t="s">
        <v>420</v>
      </c>
      <c r="D65" s="6" t="s">
        <v>1358</v>
      </c>
      <c r="E65" s="6"/>
      <c r="F65" s="6" t="s">
        <v>1358</v>
      </c>
      <c r="G65" s="265"/>
      <c r="H65" s="265"/>
      <c r="I65" s="265"/>
      <c r="J65" s="265"/>
      <c r="K65" s="265"/>
    </row>
    <row r="66" spans="1:11">
      <c r="A66" s="252">
        <v>590</v>
      </c>
      <c r="B66" s="252" t="s">
        <v>423</v>
      </c>
      <c r="C66" s="252" t="s">
        <v>424</v>
      </c>
      <c r="D66" s="6" t="s">
        <v>1358</v>
      </c>
      <c r="E66" s="6"/>
      <c r="F66" s="6" t="s">
        <v>1358</v>
      </c>
    </row>
    <row r="67" spans="1:11">
      <c r="A67" s="252">
        <v>594</v>
      </c>
      <c r="B67" s="252" t="s">
        <v>429</v>
      </c>
      <c r="C67" s="252" t="s">
        <v>430</v>
      </c>
      <c r="D67" s="262">
        <v>4832313100</v>
      </c>
      <c r="E67" s="263">
        <v>137.99</v>
      </c>
      <c r="F67" s="261" t="s">
        <v>1362</v>
      </c>
    </row>
    <row r="68" spans="1:11">
      <c r="A68" s="252">
        <v>594</v>
      </c>
      <c r="B68" s="252" t="s">
        <v>429</v>
      </c>
      <c r="C68" s="252" t="s">
        <v>430</v>
      </c>
      <c r="D68" s="262">
        <v>4832313100</v>
      </c>
      <c r="E68" s="263">
        <v>334.69</v>
      </c>
      <c r="F68" s="261" t="s">
        <v>1363</v>
      </c>
    </row>
    <row r="69" spans="1:11">
      <c r="A69" s="252">
        <v>597</v>
      </c>
      <c r="B69" s="252" t="s">
        <v>435</v>
      </c>
      <c r="C69" s="252" t="s">
        <v>436</v>
      </c>
      <c r="D69" s="6" t="s">
        <v>1358</v>
      </c>
      <c r="E69" s="6"/>
      <c r="F69" s="6" t="s">
        <v>1358</v>
      </c>
    </row>
    <row r="70" spans="1:11">
      <c r="A70" s="252">
        <v>598</v>
      </c>
      <c r="B70" s="252" t="s">
        <v>439</v>
      </c>
      <c r="C70" s="252" t="s">
        <v>440</v>
      </c>
      <c r="D70" s="6" t="s">
        <v>1358</v>
      </c>
      <c r="E70" s="6"/>
      <c r="F70" s="6" t="s">
        <v>1358</v>
      </c>
    </row>
    <row r="71" spans="1:11">
      <c r="A71" s="252">
        <v>599</v>
      </c>
      <c r="B71" s="252" t="s">
        <v>447</v>
      </c>
      <c r="C71" s="252" t="s">
        <v>448</v>
      </c>
      <c r="D71" s="6" t="s">
        <v>1358</v>
      </c>
      <c r="E71" s="6"/>
      <c r="F71" s="6" t="s">
        <v>1358</v>
      </c>
    </row>
    <row r="72" spans="1:11">
      <c r="A72" s="252">
        <v>600</v>
      </c>
      <c r="B72" s="252" t="s">
        <v>452</v>
      </c>
      <c r="C72" s="252" t="s">
        <v>453</v>
      </c>
      <c r="D72" s="6" t="s">
        <v>1358</v>
      </c>
      <c r="E72" s="6"/>
      <c r="F72" s="6" t="s">
        <v>1358</v>
      </c>
    </row>
    <row r="73" spans="1:11">
      <c r="A73" s="252">
        <v>601</v>
      </c>
      <c r="B73" s="252" t="s">
        <v>460</v>
      </c>
      <c r="C73" s="252" t="s">
        <v>461</v>
      </c>
      <c r="D73" s="6" t="s">
        <v>1358</v>
      </c>
      <c r="E73" s="6"/>
      <c r="F73" s="6" t="s">
        <v>1358</v>
      </c>
    </row>
    <row r="74" spans="1:11">
      <c r="A74" s="252">
        <v>604</v>
      </c>
      <c r="B74" s="252" t="s">
        <v>467</v>
      </c>
      <c r="C74" s="252" t="s">
        <v>468</v>
      </c>
      <c r="D74" s="6" t="s">
        <v>1358</v>
      </c>
      <c r="E74" s="6"/>
      <c r="F74" s="6" t="s">
        <v>1358</v>
      </c>
      <c r="G74" s="265"/>
      <c r="H74" s="265"/>
      <c r="I74" s="265"/>
      <c r="J74" s="265"/>
      <c r="K74" s="265"/>
    </row>
    <row r="75" spans="1:11">
      <c r="A75" s="252">
        <v>605</v>
      </c>
      <c r="B75" s="252" t="s">
        <v>439</v>
      </c>
      <c r="C75" s="252" t="s">
        <v>471</v>
      </c>
      <c r="D75" s="6" t="s">
        <v>1358</v>
      </c>
      <c r="E75" s="6"/>
      <c r="F75" s="6" t="s">
        <v>1358</v>
      </c>
    </row>
    <row r="76" spans="1:11">
      <c r="A76" s="252">
        <v>606</v>
      </c>
      <c r="B76" s="252" t="s">
        <v>477</v>
      </c>
      <c r="C76" s="252" t="s">
        <v>478</v>
      </c>
      <c r="D76" s="6" t="s">
        <v>1358</v>
      </c>
      <c r="E76" s="6"/>
      <c r="F76" s="6" t="s">
        <v>1358</v>
      </c>
    </row>
    <row r="77" spans="1:11" s="265" customFormat="1">
      <c r="A77" s="253">
        <v>607</v>
      </c>
      <c r="B77" s="253" t="s">
        <v>484</v>
      </c>
      <c r="C77" s="253" t="s">
        <v>485</v>
      </c>
      <c r="D77" s="6" t="s">
        <v>1358</v>
      </c>
      <c r="E77" s="6"/>
      <c r="F77" s="6" t="s">
        <v>1358</v>
      </c>
      <c r="G77"/>
      <c r="H77"/>
      <c r="I77"/>
      <c r="J77"/>
      <c r="K77"/>
    </row>
    <row r="78" spans="1:11" s="265" customFormat="1">
      <c r="A78" s="253">
        <v>608</v>
      </c>
      <c r="B78" s="253" t="s">
        <v>490</v>
      </c>
      <c r="C78" s="253" t="s">
        <v>491</v>
      </c>
      <c r="D78" s="6" t="s">
        <v>1358</v>
      </c>
      <c r="E78" s="6"/>
      <c r="F78" s="6" t="s">
        <v>1358</v>
      </c>
    </row>
    <row r="79" spans="1:11">
      <c r="A79" s="252">
        <v>610</v>
      </c>
      <c r="B79" s="252" t="s">
        <v>497</v>
      </c>
      <c r="C79" s="252" t="s">
        <v>498</v>
      </c>
      <c r="D79" s="6" t="s">
        <v>1358</v>
      </c>
      <c r="E79" s="6"/>
      <c r="F79" s="6" t="s">
        <v>1358</v>
      </c>
    </row>
    <row r="80" spans="1:11">
      <c r="A80" s="252">
        <v>613</v>
      </c>
      <c r="B80" s="252" t="s">
        <v>503</v>
      </c>
      <c r="C80" s="252" t="s">
        <v>504</v>
      </c>
      <c r="D80" s="6" t="s">
        <v>1358</v>
      </c>
      <c r="E80" s="6"/>
      <c r="F80" s="6" t="s">
        <v>1358</v>
      </c>
      <c r="G80" s="265"/>
      <c r="H80" s="265"/>
      <c r="I80" s="265"/>
      <c r="J80" s="265"/>
      <c r="K80" s="265"/>
    </row>
    <row r="81" spans="1:11">
      <c r="A81" s="252">
        <v>617</v>
      </c>
      <c r="B81" s="252" t="s">
        <v>158</v>
      </c>
      <c r="C81" s="252" t="s">
        <v>507</v>
      </c>
      <c r="D81" s="6" t="s">
        <v>1358</v>
      </c>
      <c r="E81" s="6"/>
      <c r="F81" s="6" t="s">
        <v>1358</v>
      </c>
    </row>
    <row r="82" spans="1:11">
      <c r="A82" s="252">
        <v>618</v>
      </c>
      <c r="B82" s="252" t="s">
        <v>511</v>
      </c>
      <c r="C82" s="252" t="s">
        <v>512</v>
      </c>
      <c r="D82" s="6" t="s">
        <v>1358</v>
      </c>
      <c r="E82" s="6"/>
      <c r="F82" s="6" t="s">
        <v>1358</v>
      </c>
    </row>
    <row r="83" spans="1:11">
      <c r="A83" s="252">
        <v>619</v>
      </c>
      <c r="B83" s="252" t="s">
        <v>518</v>
      </c>
      <c r="C83" s="252" t="s">
        <v>519</v>
      </c>
      <c r="D83" s="6" t="s">
        <v>1358</v>
      </c>
      <c r="E83" s="6"/>
      <c r="F83" s="6" t="s">
        <v>1358</v>
      </c>
    </row>
    <row r="84" spans="1:11">
      <c r="A84" s="252">
        <v>622</v>
      </c>
      <c r="B84" s="252" t="s">
        <v>524</v>
      </c>
      <c r="C84" s="252" t="s">
        <v>525</v>
      </c>
      <c r="D84" s="262" t="s">
        <v>1364</v>
      </c>
      <c r="E84" s="259">
        <v>247.45</v>
      </c>
      <c r="F84" s="261" t="s">
        <v>1365</v>
      </c>
    </row>
    <row r="85" spans="1:11">
      <c r="A85" s="252">
        <v>623</v>
      </c>
      <c r="B85" s="252" t="s">
        <v>530</v>
      </c>
      <c r="C85" s="252" t="s">
        <v>531</v>
      </c>
      <c r="D85" s="6" t="s">
        <v>1358</v>
      </c>
      <c r="E85" s="6"/>
      <c r="F85" s="6" t="s">
        <v>1358</v>
      </c>
    </row>
    <row r="86" spans="1:11" s="265" customFormat="1">
      <c r="A86" s="253">
        <v>624</v>
      </c>
      <c r="B86" s="253" t="s">
        <v>537</v>
      </c>
      <c r="C86" s="253" t="s">
        <v>538</v>
      </c>
      <c r="D86" s="260">
        <v>1238787800</v>
      </c>
      <c r="E86" s="259">
        <v>22.32</v>
      </c>
      <c r="F86" s="261" t="s">
        <v>1362</v>
      </c>
      <c r="G86"/>
      <c r="H86"/>
      <c r="I86"/>
      <c r="J86"/>
      <c r="K86"/>
    </row>
    <row r="87" spans="1:11">
      <c r="A87" s="252">
        <v>625</v>
      </c>
      <c r="B87" s="252" t="s">
        <v>94</v>
      </c>
      <c r="C87" s="252" t="s">
        <v>544</v>
      </c>
      <c r="D87" s="6" t="s">
        <v>1358</v>
      </c>
      <c r="E87" s="6"/>
      <c r="F87" s="6" t="s">
        <v>1358</v>
      </c>
    </row>
    <row r="88" spans="1:11">
      <c r="A88" s="252">
        <v>626</v>
      </c>
      <c r="B88" s="252" t="s">
        <v>547</v>
      </c>
      <c r="C88" s="252" t="s">
        <v>548</v>
      </c>
      <c r="D88" s="6" t="s">
        <v>1358</v>
      </c>
      <c r="E88" s="6"/>
      <c r="F88" s="6" t="s">
        <v>1358</v>
      </c>
    </row>
    <row r="89" spans="1:11">
      <c r="A89" s="252">
        <v>627</v>
      </c>
      <c r="B89" s="252" t="s">
        <v>553</v>
      </c>
      <c r="C89" s="252" t="s">
        <v>554</v>
      </c>
      <c r="D89" s="6" t="s">
        <v>1358</v>
      </c>
      <c r="E89" s="6"/>
      <c r="F89" s="6" t="s">
        <v>1358</v>
      </c>
    </row>
    <row r="90" spans="1:11">
      <c r="A90" s="252">
        <v>629</v>
      </c>
      <c r="B90" s="252" t="s">
        <v>559</v>
      </c>
      <c r="C90" s="252" t="s">
        <v>560</v>
      </c>
      <c r="D90" s="6" t="s">
        <v>1358</v>
      </c>
      <c r="E90" s="6"/>
      <c r="F90" s="6" t="s">
        <v>1358</v>
      </c>
    </row>
    <row r="91" spans="1:11">
      <c r="A91" s="252">
        <v>631</v>
      </c>
      <c r="B91" s="252" t="s">
        <v>566</v>
      </c>
      <c r="C91" s="252" t="s">
        <v>567</v>
      </c>
      <c r="D91" s="6" t="s">
        <v>1358</v>
      </c>
      <c r="E91" s="6"/>
      <c r="F91" s="6" t="s">
        <v>1358</v>
      </c>
    </row>
    <row r="92" spans="1:11">
      <c r="A92" s="252">
        <v>632</v>
      </c>
      <c r="B92" s="252" t="s">
        <v>571</v>
      </c>
      <c r="C92" s="252" t="s">
        <v>572</v>
      </c>
      <c r="D92" s="6" t="s">
        <v>1358</v>
      </c>
      <c r="E92" s="6"/>
      <c r="F92" s="6" t="s">
        <v>1358</v>
      </c>
    </row>
    <row r="93" spans="1:11">
      <c r="A93" s="252">
        <v>633</v>
      </c>
      <c r="B93" s="252" t="s">
        <v>577</v>
      </c>
      <c r="C93" s="252" t="s">
        <v>578</v>
      </c>
      <c r="D93" s="6" t="s">
        <v>1358</v>
      </c>
      <c r="E93" s="6"/>
      <c r="F93" s="6" t="s">
        <v>1358</v>
      </c>
    </row>
    <row r="94" spans="1:11">
      <c r="A94" s="252">
        <v>635</v>
      </c>
      <c r="B94" s="252" t="s">
        <v>582</v>
      </c>
      <c r="C94" s="252" t="s">
        <v>583</v>
      </c>
      <c r="D94" s="6" t="s">
        <v>1358</v>
      </c>
      <c r="E94" s="6"/>
      <c r="F94" s="6" t="s">
        <v>1358</v>
      </c>
    </row>
    <row r="95" spans="1:11" s="265" customFormat="1">
      <c r="A95" s="253">
        <v>636</v>
      </c>
      <c r="B95" s="253" t="s">
        <v>588</v>
      </c>
      <c r="C95" s="253" t="s">
        <v>589</v>
      </c>
      <c r="D95" s="260">
        <v>1433115350</v>
      </c>
      <c r="E95" s="268">
        <v>5.46</v>
      </c>
      <c r="F95" s="269" t="s">
        <v>1362</v>
      </c>
      <c r="G95"/>
      <c r="H95"/>
      <c r="I95"/>
      <c r="J95"/>
      <c r="K95"/>
    </row>
    <row r="96" spans="1:11">
      <c r="A96" s="252">
        <v>639</v>
      </c>
      <c r="B96" s="252" t="s">
        <v>595</v>
      </c>
      <c r="C96" s="252" t="s">
        <v>596</v>
      </c>
      <c r="E96" s="184">
        <v>0.35</v>
      </c>
      <c r="F96" s="218" t="s">
        <v>1362</v>
      </c>
    </row>
    <row r="97" spans="1:11">
      <c r="A97" s="252">
        <v>640</v>
      </c>
      <c r="B97" s="252" t="s">
        <v>599</v>
      </c>
      <c r="C97" s="252" t="s">
        <v>600</v>
      </c>
      <c r="D97" s="6" t="s">
        <v>1358</v>
      </c>
      <c r="E97" s="6"/>
      <c r="F97" s="6" t="s">
        <v>1358</v>
      </c>
    </row>
    <row r="98" spans="1:11">
      <c r="A98" s="252">
        <v>641</v>
      </c>
      <c r="B98" s="252" t="s">
        <v>604</v>
      </c>
      <c r="C98" s="252" t="s">
        <v>605</v>
      </c>
      <c r="D98" s="272">
        <v>1132383700</v>
      </c>
      <c r="E98" s="184">
        <v>9.1</v>
      </c>
      <c r="F98" s="218" t="s">
        <v>1362</v>
      </c>
    </row>
    <row r="99" spans="1:11" s="265" customFormat="1">
      <c r="A99" s="253">
        <v>642</v>
      </c>
      <c r="B99" s="253" t="s">
        <v>610</v>
      </c>
      <c r="C99" s="253" t="s">
        <v>611</v>
      </c>
      <c r="D99" s="267">
        <v>1221313600</v>
      </c>
      <c r="E99" s="270">
        <v>14.170000000000002</v>
      </c>
      <c r="F99" s="271" t="s">
        <v>1362</v>
      </c>
      <c r="G99"/>
      <c r="H99"/>
      <c r="I99"/>
      <c r="J99"/>
      <c r="K99"/>
    </row>
    <row r="100" spans="1:11">
      <c r="A100" s="252">
        <v>643</v>
      </c>
      <c r="B100" s="252" t="s">
        <v>617</v>
      </c>
      <c r="C100" s="252" t="s">
        <v>618</v>
      </c>
      <c r="D100" s="6" t="s">
        <v>1358</v>
      </c>
      <c r="E100" s="6"/>
      <c r="F100" s="6" t="s">
        <v>1358</v>
      </c>
    </row>
    <row r="101" spans="1:11">
      <c r="A101" s="252">
        <v>645</v>
      </c>
      <c r="B101" s="252" t="s">
        <v>623</v>
      </c>
      <c r="C101" s="252" t="s">
        <v>624</v>
      </c>
      <c r="D101" s="6" t="s">
        <v>1358</v>
      </c>
      <c r="E101" s="6"/>
      <c r="F101" s="6" t="s">
        <v>1358</v>
      </c>
    </row>
    <row r="102" spans="1:11">
      <c r="A102" s="252">
        <v>646</v>
      </c>
      <c r="B102" s="252" t="s">
        <v>627</v>
      </c>
      <c r="C102" s="252" t="s">
        <v>628</v>
      </c>
      <c r="D102" s="6" t="s">
        <v>1358</v>
      </c>
      <c r="E102" s="6"/>
      <c r="F102" s="6" t="s">
        <v>1358</v>
      </c>
    </row>
    <row r="103" spans="1:11">
      <c r="A103" s="252">
        <v>647</v>
      </c>
      <c r="B103" s="252" t="s">
        <v>631</v>
      </c>
      <c r="C103" s="252" t="s">
        <v>632</v>
      </c>
      <c r="D103" s="260">
        <v>1338785800</v>
      </c>
      <c r="E103" s="259">
        <v>1.9100000000000001</v>
      </c>
      <c r="F103" s="261" t="s">
        <v>1362</v>
      </c>
    </row>
    <row r="104" spans="1:11">
      <c r="A104" s="252">
        <v>648</v>
      </c>
      <c r="B104" s="252" t="s">
        <v>637</v>
      </c>
      <c r="C104" s="252" t="s">
        <v>638</v>
      </c>
      <c r="D104" s="6" t="s">
        <v>1358</v>
      </c>
      <c r="E104" s="6"/>
      <c r="F104" s="6" t="s">
        <v>1358</v>
      </c>
    </row>
    <row r="105" spans="1:11">
      <c r="A105" s="252">
        <v>649</v>
      </c>
      <c r="B105" s="252" t="s">
        <v>644</v>
      </c>
      <c r="C105" s="252" t="s">
        <v>645</v>
      </c>
      <c r="D105" s="6" t="s">
        <v>1358</v>
      </c>
      <c r="E105" s="6"/>
      <c r="F105" s="6" t="s">
        <v>1358</v>
      </c>
    </row>
    <row r="106" spans="1:11">
      <c r="A106" s="252">
        <v>650</v>
      </c>
      <c r="B106" s="252" t="s">
        <v>649</v>
      </c>
      <c r="C106" s="252" t="s">
        <v>650</v>
      </c>
      <c r="D106" s="260">
        <v>9132054100</v>
      </c>
      <c r="E106" s="259">
        <v>68.620000000000019</v>
      </c>
      <c r="F106" s="261" t="s">
        <v>1362</v>
      </c>
    </row>
    <row r="107" spans="1:11">
      <c r="A107" s="252">
        <v>651</v>
      </c>
      <c r="B107" s="252" t="s">
        <v>655</v>
      </c>
      <c r="C107" s="252" t="s">
        <v>656</v>
      </c>
      <c r="D107" s="6" t="s">
        <v>1358</v>
      </c>
      <c r="E107" s="6"/>
      <c r="F107" s="6" t="s">
        <v>1358</v>
      </c>
    </row>
    <row r="108" spans="1:11">
      <c r="A108" s="252">
        <v>652</v>
      </c>
      <c r="B108" s="252" t="s">
        <v>661</v>
      </c>
      <c r="C108" s="252" t="s">
        <v>662</v>
      </c>
      <c r="D108" s="6" t="s">
        <v>1358</v>
      </c>
      <c r="E108" s="6"/>
      <c r="F108" s="6" t="s">
        <v>1358</v>
      </c>
    </row>
    <row r="109" spans="1:11">
      <c r="A109" s="252">
        <v>653</v>
      </c>
      <c r="B109" s="252" t="s">
        <v>667</v>
      </c>
      <c r="C109" s="252" t="s">
        <v>668</v>
      </c>
      <c r="D109" s="260">
        <v>8534025600</v>
      </c>
      <c r="E109" s="259">
        <v>13.3</v>
      </c>
      <c r="F109" s="261" t="s">
        <v>1362</v>
      </c>
    </row>
    <row r="110" spans="1:11">
      <c r="A110" s="252">
        <v>654</v>
      </c>
      <c r="B110" s="252" t="s">
        <v>673</v>
      </c>
      <c r="C110" s="252" t="s">
        <v>674</v>
      </c>
      <c r="D110" s="6" t="s">
        <v>1358</v>
      </c>
      <c r="E110" s="6"/>
      <c r="F110" s="6" t="s">
        <v>1358</v>
      </c>
    </row>
    <row r="111" spans="1:11">
      <c r="A111" s="252">
        <v>656</v>
      </c>
      <c r="B111" s="252" t="s">
        <v>680</v>
      </c>
      <c r="C111" s="252" t="s">
        <v>681</v>
      </c>
      <c r="D111" s="6" t="s">
        <v>1358</v>
      </c>
      <c r="E111" s="6"/>
      <c r="F111" s="6" t="s">
        <v>1358</v>
      </c>
    </row>
    <row r="112" spans="1:11">
      <c r="A112" s="252">
        <v>657</v>
      </c>
      <c r="B112" s="252" t="s">
        <v>685</v>
      </c>
      <c r="C112" s="252" t="s">
        <v>686</v>
      </c>
      <c r="D112" s="6" t="s">
        <v>1358</v>
      </c>
      <c r="E112" s="6"/>
      <c r="F112" s="6" t="s">
        <v>1358</v>
      </c>
    </row>
    <row r="113" spans="1:6">
      <c r="A113" s="252">
        <v>659</v>
      </c>
      <c r="B113" s="252" t="s">
        <v>691</v>
      </c>
      <c r="C113" s="252" t="s">
        <v>692</v>
      </c>
      <c r="D113" s="6" t="s">
        <v>1358</v>
      </c>
      <c r="E113" s="6"/>
      <c r="F113" s="6" t="s">
        <v>1358</v>
      </c>
    </row>
    <row r="114" spans="1:6">
      <c r="A114" s="252">
        <v>660</v>
      </c>
      <c r="B114" s="252" t="s">
        <v>696</v>
      </c>
      <c r="C114" s="252" t="s">
        <v>697</v>
      </c>
      <c r="D114" s="6" t="s">
        <v>1358</v>
      </c>
      <c r="E114" s="6"/>
      <c r="F114" s="6" t="s">
        <v>1358</v>
      </c>
    </row>
    <row r="115" spans="1:6">
      <c r="A115" s="252">
        <v>661</v>
      </c>
      <c r="B115" s="252" t="s">
        <v>702</v>
      </c>
      <c r="C115" s="252" t="s">
        <v>703</v>
      </c>
      <c r="D115" s="6" t="s">
        <v>1358</v>
      </c>
      <c r="E115" s="6"/>
      <c r="F115" s="6" t="s">
        <v>1358</v>
      </c>
    </row>
    <row r="116" spans="1:6">
      <c r="A116" s="252">
        <v>662</v>
      </c>
      <c r="B116" s="252" t="s">
        <v>708</v>
      </c>
      <c r="C116" s="252" t="s">
        <v>709</v>
      </c>
      <c r="D116" s="6" t="s">
        <v>1358</v>
      </c>
      <c r="E116" s="6"/>
      <c r="F116" s="6" t="s">
        <v>1358</v>
      </c>
    </row>
    <row r="117" spans="1:6">
      <c r="A117" s="252">
        <v>663</v>
      </c>
      <c r="B117" s="252" t="s">
        <v>712</v>
      </c>
      <c r="C117" s="252" t="s">
        <v>713</v>
      </c>
      <c r="D117" s="6" t="s">
        <v>1358</v>
      </c>
      <c r="E117" s="6"/>
      <c r="F117" s="6" t="s">
        <v>1358</v>
      </c>
    </row>
    <row r="118" spans="1:6">
      <c r="A118" s="252">
        <v>664</v>
      </c>
      <c r="B118" s="252" t="s">
        <v>718</v>
      </c>
      <c r="C118" s="252" t="s">
        <v>719</v>
      </c>
      <c r="D118" s="6" t="s">
        <v>1358</v>
      </c>
      <c r="E118" s="6"/>
      <c r="F118" s="6" t="s">
        <v>1358</v>
      </c>
    </row>
    <row r="119" spans="1:6">
      <c r="A119" s="252">
        <v>665</v>
      </c>
      <c r="B119" s="252" t="s">
        <v>722</v>
      </c>
      <c r="C119" s="252" t="s">
        <v>723</v>
      </c>
      <c r="D119" s="6" t="s">
        <v>1358</v>
      </c>
      <c r="E119" s="6"/>
      <c r="F119" s="6" t="s">
        <v>1358</v>
      </c>
    </row>
    <row r="120" spans="1:6">
      <c r="A120" s="252">
        <v>667</v>
      </c>
      <c r="B120" s="252" t="s">
        <v>726</v>
      </c>
      <c r="C120" s="252" t="s">
        <v>727</v>
      </c>
      <c r="D120" s="6" t="s">
        <v>1358</v>
      </c>
      <c r="E120" s="6"/>
      <c r="F120" s="6" t="s">
        <v>1358</v>
      </c>
    </row>
    <row r="121" spans="1:6">
      <c r="A121" s="252">
        <v>671</v>
      </c>
      <c r="B121" s="252" t="s">
        <v>732</v>
      </c>
      <c r="C121" s="252" t="s">
        <v>733</v>
      </c>
      <c r="D121" s="6" t="s">
        <v>1358</v>
      </c>
      <c r="E121" s="6"/>
      <c r="F121" s="6" t="s">
        <v>1358</v>
      </c>
    </row>
    <row r="122" spans="1:6">
      <c r="A122" s="252">
        <v>672</v>
      </c>
      <c r="B122" s="252" t="s">
        <v>738</v>
      </c>
      <c r="C122" s="252" t="s">
        <v>739</v>
      </c>
      <c r="D122" s="6" t="s">
        <v>1358</v>
      </c>
      <c r="E122" s="6"/>
      <c r="F122" s="6" t="s">
        <v>1358</v>
      </c>
    </row>
    <row r="123" spans="1:6">
      <c r="A123" s="252">
        <v>674</v>
      </c>
      <c r="B123" s="252" t="s">
        <v>745</v>
      </c>
      <c r="C123" s="252" t="s">
        <v>746</v>
      </c>
      <c r="D123" s="6" t="s">
        <v>1358</v>
      </c>
      <c r="E123" s="6"/>
      <c r="F123" s="6" t="s">
        <v>1358</v>
      </c>
    </row>
    <row r="124" spans="1:6">
      <c r="A124" s="252">
        <v>675</v>
      </c>
      <c r="B124" s="252" t="s">
        <v>752</v>
      </c>
      <c r="C124" s="252" t="s">
        <v>753</v>
      </c>
      <c r="D124" s="6" t="s">
        <v>1358</v>
      </c>
      <c r="E124" s="6"/>
      <c r="F124" s="6" t="s">
        <v>1358</v>
      </c>
    </row>
    <row r="125" spans="1:6">
      <c r="A125" s="252">
        <v>676</v>
      </c>
      <c r="B125" s="252" t="s">
        <v>757</v>
      </c>
      <c r="C125" s="252" t="s">
        <v>758</v>
      </c>
      <c r="D125" s="6" t="s">
        <v>1358</v>
      </c>
      <c r="E125" s="6"/>
      <c r="F125" s="6" t="s">
        <v>1358</v>
      </c>
    </row>
    <row r="126" spans="1:6">
      <c r="A126" s="252">
        <v>677</v>
      </c>
      <c r="B126" s="252" t="s">
        <v>763</v>
      </c>
      <c r="C126" s="252" t="s">
        <v>764</v>
      </c>
      <c r="D126" s="6" t="s">
        <v>1358</v>
      </c>
      <c r="E126" s="6"/>
      <c r="F126" s="6" t="s">
        <v>1358</v>
      </c>
    </row>
    <row r="127" spans="1:6">
      <c r="A127" s="252">
        <v>678</v>
      </c>
      <c r="B127" s="252" t="s">
        <v>769</v>
      </c>
      <c r="C127" s="252" t="s">
        <v>770</v>
      </c>
      <c r="D127" s="6" t="s">
        <v>1358</v>
      </c>
      <c r="E127" s="6"/>
      <c r="F127" s="6" t="s">
        <v>1358</v>
      </c>
    </row>
    <row r="128" spans="1:6">
      <c r="A128" s="252">
        <v>679</v>
      </c>
      <c r="B128" s="252" t="s">
        <v>776</v>
      </c>
      <c r="C128" s="252" t="s">
        <v>777</v>
      </c>
      <c r="D128" s="260">
        <v>9932217250</v>
      </c>
      <c r="E128" s="259">
        <v>34.81</v>
      </c>
      <c r="F128" s="261" t="s">
        <v>1362</v>
      </c>
    </row>
    <row r="129" spans="1:6">
      <c r="A129" s="252">
        <v>680</v>
      </c>
      <c r="B129" s="252" t="s">
        <v>779</v>
      </c>
      <c r="C129" s="252" t="s">
        <v>780</v>
      </c>
      <c r="D129" s="6" t="s">
        <v>1358</v>
      </c>
      <c r="E129" s="6"/>
      <c r="F129" s="6" t="s">
        <v>1358</v>
      </c>
    </row>
    <row r="130" spans="1:6">
      <c r="A130" s="252">
        <v>681</v>
      </c>
      <c r="B130" s="252" t="s">
        <v>785</v>
      </c>
      <c r="C130" s="252" t="s">
        <v>786</v>
      </c>
      <c r="D130" s="6" t="s">
        <v>1358</v>
      </c>
      <c r="E130" s="6"/>
      <c r="F130" s="6" t="s">
        <v>1358</v>
      </c>
    </row>
    <row r="131" spans="1:6">
      <c r="A131" s="252">
        <v>682</v>
      </c>
      <c r="B131" s="252" t="s">
        <v>793</v>
      </c>
      <c r="C131" s="252" t="s">
        <v>794</v>
      </c>
      <c r="D131" s="6" t="s">
        <v>1358</v>
      </c>
      <c r="E131" s="6"/>
      <c r="F131" s="6" t="s">
        <v>1358</v>
      </c>
    </row>
    <row r="132" spans="1:6">
      <c r="A132" s="252">
        <v>684</v>
      </c>
      <c r="B132" s="252" t="s">
        <v>800</v>
      </c>
      <c r="C132" s="252" t="s">
        <v>801</v>
      </c>
      <c r="D132" s="6" t="s">
        <v>1358</v>
      </c>
      <c r="E132" s="6"/>
      <c r="F132" s="6" t="s">
        <v>1358</v>
      </c>
    </row>
    <row r="133" spans="1:6">
      <c r="A133" s="252">
        <v>685</v>
      </c>
      <c r="B133" s="252" t="s">
        <v>806</v>
      </c>
      <c r="C133" s="252" t="s">
        <v>807</v>
      </c>
      <c r="D133" s="6" t="s">
        <v>1358</v>
      </c>
      <c r="E133" s="6"/>
      <c r="F133" s="6" t="s">
        <v>1358</v>
      </c>
    </row>
    <row r="134" spans="1:6">
      <c r="A134" s="252">
        <v>686</v>
      </c>
      <c r="B134" s="252" t="s">
        <v>813</v>
      </c>
      <c r="C134" s="252" t="s">
        <v>814</v>
      </c>
      <c r="D134" s="6" t="s">
        <v>1358</v>
      </c>
      <c r="E134" s="6"/>
      <c r="F134" s="6" t="s">
        <v>1358</v>
      </c>
    </row>
    <row r="135" spans="1:6">
      <c r="A135" s="252">
        <v>687</v>
      </c>
      <c r="B135" s="252" t="s">
        <v>818</v>
      </c>
      <c r="C135" s="252" t="s">
        <v>819</v>
      </c>
      <c r="D135" s="6" t="s">
        <v>1358</v>
      </c>
      <c r="E135" s="6"/>
      <c r="F135" s="6" t="s">
        <v>1358</v>
      </c>
    </row>
    <row r="136" spans="1:6">
      <c r="A136" s="252">
        <v>688</v>
      </c>
      <c r="B136" s="252" t="s">
        <v>825</v>
      </c>
      <c r="C136" s="252" t="s">
        <v>826</v>
      </c>
      <c r="D136" s="6" t="s">
        <v>1358</v>
      </c>
      <c r="E136" s="6"/>
      <c r="F136" s="6" t="s">
        <v>1358</v>
      </c>
    </row>
    <row r="137" spans="1:6">
      <c r="A137" s="252">
        <v>689</v>
      </c>
      <c r="B137" s="252" t="s">
        <v>830</v>
      </c>
      <c r="C137" s="252" t="s">
        <v>831</v>
      </c>
      <c r="D137" s="6" t="s">
        <v>1358</v>
      </c>
      <c r="E137" s="6"/>
      <c r="F137" s="6" t="s">
        <v>1358</v>
      </c>
    </row>
    <row r="138" spans="1:6">
      <c r="A138" s="252">
        <v>696</v>
      </c>
      <c r="B138" s="252" t="s">
        <v>836</v>
      </c>
      <c r="C138" s="252" t="s">
        <v>837</v>
      </c>
      <c r="D138" s="260">
        <v>4832989800</v>
      </c>
      <c r="E138" s="259">
        <v>0.71</v>
      </c>
      <c r="F138" s="261" t="s">
        <v>1362</v>
      </c>
    </row>
    <row r="139" spans="1:6">
      <c r="A139" s="252">
        <v>698</v>
      </c>
      <c r="B139" s="252" t="s">
        <v>843</v>
      </c>
      <c r="C139" s="252" t="s">
        <v>844</v>
      </c>
      <c r="D139" s="6" t="s">
        <v>1358</v>
      </c>
      <c r="E139" s="6"/>
      <c r="F139" s="6" t="s">
        <v>1358</v>
      </c>
    </row>
    <row r="140" spans="1:6">
      <c r="A140" s="252">
        <v>699</v>
      </c>
      <c r="B140" s="252" t="s">
        <v>849</v>
      </c>
      <c r="C140" s="252" t="s">
        <v>850</v>
      </c>
      <c r="D140" s="6" t="s">
        <v>1358</v>
      </c>
      <c r="E140" s="6"/>
      <c r="F140" s="6" t="s">
        <v>1358</v>
      </c>
    </row>
    <row r="141" spans="1:6">
      <c r="A141" s="252">
        <v>700</v>
      </c>
      <c r="B141" s="252" t="s">
        <v>855</v>
      </c>
      <c r="C141" s="252" t="s">
        <v>856</v>
      </c>
      <c r="D141" s="6" t="s">
        <v>1358</v>
      </c>
      <c r="E141" s="6"/>
      <c r="F141" s="6" t="s">
        <v>1358</v>
      </c>
    </row>
    <row r="142" spans="1:6">
      <c r="A142" s="252">
        <v>709</v>
      </c>
      <c r="B142" s="252" t="s">
        <v>860</v>
      </c>
      <c r="C142" s="252" t="s">
        <v>861</v>
      </c>
      <c r="D142" s="6" t="s">
        <v>1358</v>
      </c>
      <c r="E142" s="6"/>
      <c r="F142" s="6" t="s">
        <v>1358</v>
      </c>
    </row>
    <row r="143" spans="1:6">
      <c r="A143" s="252">
        <v>711</v>
      </c>
      <c r="B143" s="252" t="s">
        <v>866</v>
      </c>
      <c r="C143" s="252" t="s">
        <v>867</v>
      </c>
      <c r="D143" s="6" t="s">
        <v>1358</v>
      </c>
      <c r="E143" s="6"/>
      <c r="F143" s="6" t="s">
        <v>1358</v>
      </c>
    </row>
    <row r="144" spans="1:6">
      <c r="A144" s="252">
        <v>712</v>
      </c>
      <c r="B144" s="252" t="s">
        <v>232</v>
      </c>
      <c r="C144" s="252" t="s">
        <v>873</v>
      </c>
      <c r="D144" s="6" t="s">
        <v>1358</v>
      </c>
      <c r="E144" s="6"/>
      <c r="F144" s="6" t="s">
        <v>1358</v>
      </c>
    </row>
    <row r="145" spans="1:6">
      <c r="A145" s="252">
        <v>715</v>
      </c>
      <c r="B145" s="252" t="s">
        <v>876</v>
      </c>
      <c r="C145" s="252" t="s">
        <v>877</v>
      </c>
      <c r="D145" s="6" t="s">
        <v>1358</v>
      </c>
      <c r="E145" s="6"/>
      <c r="F145" s="6" t="s">
        <v>1358</v>
      </c>
    </row>
    <row r="146" spans="1:6">
      <c r="A146" s="252">
        <v>717</v>
      </c>
      <c r="B146" s="252" t="s">
        <v>880</v>
      </c>
      <c r="C146" s="252" t="s">
        <v>881</v>
      </c>
      <c r="D146" s="6" t="s">
        <v>1358</v>
      </c>
      <c r="E146" s="6"/>
      <c r="F146" s="6" t="s">
        <v>1358</v>
      </c>
    </row>
    <row r="147" spans="1:6">
      <c r="A147" s="252">
        <v>719</v>
      </c>
      <c r="B147" s="252" t="s">
        <v>886</v>
      </c>
      <c r="C147" s="252" t="s">
        <v>887</v>
      </c>
      <c r="D147" s="6" t="s">
        <v>1358</v>
      </c>
      <c r="E147" s="6"/>
      <c r="F147" s="6" t="s">
        <v>1358</v>
      </c>
    </row>
    <row r="148" spans="1:6">
      <c r="A148" s="252">
        <v>721</v>
      </c>
      <c r="B148" s="252" t="s">
        <v>891</v>
      </c>
      <c r="C148" s="252" t="s">
        <v>892</v>
      </c>
      <c r="D148" s="6" t="s">
        <v>1358</v>
      </c>
      <c r="E148" s="6"/>
      <c r="F148" s="6" t="s">
        <v>1358</v>
      </c>
    </row>
    <row r="149" spans="1:6">
      <c r="A149" s="252">
        <v>723</v>
      </c>
      <c r="B149" s="252" t="s">
        <v>897</v>
      </c>
      <c r="C149" s="252" t="s">
        <v>898</v>
      </c>
      <c r="D149" s="6" t="s">
        <v>1358</v>
      </c>
      <c r="E149" s="6"/>
      <c r="F149" s="6" t="s">
        <v>1358</v>
      </c>
    </row>
    <row r="150" spans="1:6">
      <c r="A150" s="252">
        <v>725</v>
      </c>
      <c r="B150" s="252" t="s">
        <v>904</v>
      </c>
      <c r="C150" s="252" t="s">
        <v>905</v>
      </c>
      <c r="D150" s="6" t="s">
        <v>1358</v>
      </c>
      <c r="E150" s="6"/>
      <c r="F150" s="6" t="s">
        <v>1358</v>
      </c>
    </row>
    <row r="151" spans="1:6">
      <c r="A151" s="252">
        <v>726</v>
      </c>
      <c r="B151" s="252" t="s">
        <v>908</v>
      </c>
      <c r="C151" s="252" t="s">
        <v>909</v>
      </c>
      <c r="D151" s="6" t="s">
        <v>1358</v>
      </c>
      <c r="E151" s="6"/>
      <c r="F151" s="6" t="s">
        <v>1358</v>
      </c>
    </row>
    <row r="152" spans="1:6">
      <c r="A152" s="252">
        <v>727</v>
      </c>
      <c r="B152" s="252" t="s">
        <v>912</v>
      </c>
      <c r="C152" s="252" t="s">
        <v>913</v>
      </c>
      <c r="D152" s="6" t="s">
        <v>1358</v>
      </c>
      <c r="E152" s="6"/>
      <c r="F152" s="6" t="s">
        <v>1358</v>
      </c>
    </row>
    <row r="153" spans="1:6">
      <c r="A153" s="252">
        <v>729</v>
      </c>
      <c r="B153" s="252" t="s">
        <v>919</v>
      </c>
      <c r="C153" s="252" t="s">
        <v>920</v>
      </c>
      <c r="D153" s="6" t="s">
        <v>1358</v>
      </c>
      <c r="E153" s="6"/>
      <c r="F153" s="6" t="s">
        <v>1358</v>
      </c>
    </row>
    <row r="154" spans="1:6">
      <c r="A154" s="252">
        <v>730</v>
      </c>
      <c r="B154" s="252" t="s">
        <v>926</v>
      </c>
      <c r="C154" s="252" t="s">
        <v>927</v>
      </c>
      <c r="D154" s="6" t="s">
        <v>1358</v>
      </c>
      <c r="E154" s="6"/>
      <c r="F154" s="6" t="s">
        <v>1358</v>
      </c>
    </row>
    <row r="155" spans="1:6">
      <c r="A155" s="252">
        <v>731</v>
      </c>
      <c r="B155" s="252" t="s">
        <v>931</v>
      </c>
      <c r="C155" s="252" t="s">
        <v>932</v>
      </c>
      <c r="D155" s="6" t="s">
        <v>1358</v>
      </c>
      <c r="E155" s="6"/>
      <c r="F155" s="6" t="s">
        <v>1358</v>
      </c>
    </row>
    <row r="156" spans="1:6">
      <c r="A156" s="252">
        <v>732</v>
      </c>
      <c r="B156" s="252" t="s">
        <v>466</v>
      </c>
      <c r="C156" s="252" t="s">
        <v>936</v>
      </c>
      <c r="D156" s="6" t="s">
        <v>1358</v>
      </c>
      <c r="E156" s="6"/>
      <c r="F156" s="6" t="s">
        <v>1358</v>
      </c>
    </row>
    <row r="157" spans="1:6">
      <c r="A157" s="252">
        <v>733</v>
      </c>
      <c r="B157" s="252" t="s">
        <v>941</v>
      </c>
      <c r="C157" s="252" t="s">
        <v>942</v>
      </c>
      <c r="D157" s="6" t="s">
        <v>1358</v>
      </c>
      <c r="E157" s="6"/>
      <c r="F157" s="6" t="s">
        <v>1358</v>
      </c>
    </row>
    <row r="158" spans="1:6">
      <c r="A158" s="252">
        <v>734</v>
      </c>
      <c r="B158" s="252" t="s">
        <v>947</v>
      </c>
      <c r="C158" s="252" t="s">
        <v>948</v>
      </c>
      <c r="D158" s="6" t="s">
        <v>1358</v>
      </c>
      <c r="E158" s="6"/>
      <c r="F158" s="6" t="s">
        <v>1358</v>
      </c>
    </row>
    <row r="159" spans="1:6">
      <c r="A159" s="252">
        <v>737</v>
      </c>
      <c r="B159" s="252" t="s">
        <v>952</v>
      </c>
      <c r="C159" s="252" t="s">
        <v>953</v>
      </c>
      <c r="D159" s="258" t="s">
        <v>1366</v>
      </c>
      <c r="E159" s="259">
        <v>7.0198094561808393</v>
      </c>
      <c r="F159" s="261" t="s">
        <v>1360</v>
      </c>
    </row>
    <row r="160" spans="1:6">
      <c r="A160" s="252">
        <v>741</v>
      </c>
      <c r="B160" s="252" t="s">
        <v>959</v>
      </c>
      <c r="C160" s="252" t="s">
        <v>960</v>
      </c>
      <c r="D160" s="260">
        <v>9221273830</v>
      </c>
      <c r="E160" s="259">
        <v>7.84</v>
      </c>
      <c r="F160" s="261" t="s">
        <v>1362</v>
      </c>
    </row>
    <row r="161" spans="1:6">
      <c r="A161" s="252">
        <v>742</v>
      </c>
      <c r="B161" s="252" t="s">
        <v>965</v>
      </c>
      <c r="C161" s="252" t="s">
        <v>966</v>
      </c>
      <c r="D161" s="6" t="s">
        <v>1358</v>
      </c>
      <c r="E161" s="6"/>
      <c r="F161" s="6" t="s">
        <v>1358</v>
      </c>
    </row>
    <row r="162" spans="1:6">
      <c r="A162" s="252">
        <v>744</v>
      </c>
      <c r="B162" s="252" t="s">
        <v>855</v>
      </c>
      <c r="C162" s="252" t="s">
        <v>970</v>
      </c>
      <c r="D162" s="6" t="s">
        <v>1358</v>
      </c>
      <c r="E162" s="6"/>
      <c r="F162" s="6" t="s">
        <v>1358</v>
      </c>
    </row>
    <row r="163" spans="1:6">
      <c r="A163" s="252">
        <v>745</v>
      </c>
      <c r="B163" s="252" t="s">
        <v>679</v>
      </c>
      <c r="C163" s="252" t="s">
        <v>972</v>
      </c>
      <c r="D163" s="6" t="s">
        <v>1358</v>
      </c>
      <c r="E163" s="6"/>
      <c r="F163" s="6" t="s">
        <v>1358</v>
      </c>
    </row>
    <row r="164" spans="1:6">
      <c r="A164" s="252">
        <v>747</v>
      </c>
      <c r="B164" s="252" t="s">
        <v>975</v>
      </c>
      <c r="C164" s="252" t="s">
        <v>976</v>
      </c>
      <c r="D164" s="6" t="s">
        <v>1358</v>
      </c>
      <c r="E164" s="6"/>
      <c r="F164" s="6" t="s">
        <v>1358</v>
      </c>
    </row>
    <row r="165" spans="1:6">
      <c r="A165" s="252">
        <v>751</v>
      </c>
      <c r="B165" s="252" t="s">
        <v>980</v>
      </c>
      <c r="C165" s="252" t="s">
        <v>981</v>
      </c>
      <c r="D165" s="6" t="s">
        <v>1358</v>
      </c>
      <c r="E165" s="6"/>
      <c r="F165" s="6" t="s">
        <v>1358</v>
      </c>
    </row>
    <row r="166" spans="1:6">
      <c r="A166" s="252">
        <v>752</v>
      </c>
      <c r="B166" s="252" t="s">
        <v>986</v>
      </c>
      <c r="C166" s="252" t="s">
        <v>987</v>
      </c>
      <c r="D166" s="6" t="s">
        <v>1358</v>
      </c>
      <c r="E166" s="6"/>
      <c r="F166" s="6" t="s">
        <v>1358</v>
      </c>
    </row>
    <row r="167" spans="1:6">
      <c r="A167" s="252">
        <v>754</v>
      </c>
      <c r="B167" s="252" t="s">
        <v>990</v>
      </c>
      <c r="C167" s="252" t="s">
        <v>991</v>
      </c>
      <c r="D167" s="6" t="s">
        <v>1358</v>
      </c>
      <c r="E167" s="6"/>
      <c r="F167" s="6" t="s">
        <v>1358</v>
      </c>
    </row>
    <row r="168" spans="1:6">
      <c r="A168" s="252">
        <v>756</v>
      </c>
      <c r="B168" s="252" t="s">
        <v>997</v>
      </c>
      <c r="C168" s="252" t="s">
        <v>998</v>
      </c>
      <c r="D168" s="6" t="s">
        <v>1358</v>
      </c>
      <c r="E168" s="6"/>
      <c r="F168" s="6" t="s">
        <v>1358</v>
      </c>
    </row>
    <row r="169" spans="1:6">
      <c r="A169" s="252">
        <v>764</v>
      </c>
      <c r="B169" s="252" t="s">
        <v>1002</v>
      </c>
      <c r="C169" s="252" t="s">
        <v>1003</v>
      </c>
      <c r="D169" s="6" t="s">
        <v>1358</v>
      </c>
      <c r="E169" s="6"/>
      <c r="F169" s="6" t="s">
        <v>1358</v>
      </c>
    </row>
    <row r="170" spans="1:6">
      <c r="A170" s="252">
        <v>765</v>
      </c>
      <c r="B170" s="252" t="s">
        <v>1008</v>
      </c>
      <c r="C170" s="252" t="s">
        <v>1009</v>
      </c>
      <c r="D170" s="260">
        <v>9238784950</v>
      </c>
      <c r="E170" s="259">
        <v>0.64</v>
      </c>
      <c r="F170" s="261" t="s">
        <v>1362</v>
      </c>
    </row>
    <row r="171" spans="1:6">
      <c r="A171" s="252">
        <v>768</v>
      </c>
      <c r="B171" s="252" t="s">
        <v>1014</v>
      </c>
      <c r="C171" s="252" t="s">
        <v>1015</v>
      </c>
      <c r="D171" s="6" t="s">
        <v>1358</v>
      </c>
      <c r="E171" s="6"/>
      <c r="F171" s="6" t="s">
        <v>1358</v>
      </c>
    </row>
    <row r="172" spans="1:6">
      <c r="A172" s="252">
        <v>770</v>
      </c>
      <c r="B172" s="252" t="s">
        <v>1021</v>
      </c>
      <c r="C172" s="252" t="s">
        <v>1022</v>
      </c>
      <c r="D172" s="258" t="s">
        <v>1367</v>
      </c>
      <c r="E172" s="259">
        <v>6.8938422391857497</v>
      </c>
      <c r="F172" s="261" t="s">
        <v>1360</v>
      </c>
    </row>
    <row r="173" spans="1:6">
      <c r="A173" s="252">
        <v>771</v>
      </c>
      <c r="B173" s="252" t="s">
        <v>1025</v>
      </c>
      <c r="C173" s="252" t="s">
        <v>1026</v>
      </c>
      <c r="D173" s="6" t="s">
        <v>1358</v>
      </c>
      <c r="E173" s="6"/>
      <c r="F173" s="6" t="s">
        <v>1358</v>
      </c>
    </row>
    <row r="174" spans="1:6">
      <c r="A174" s="252">
        <v>774</v>
      </c>
      <c r="B174" s="252" t="s">
        <v>1032</v>
      </c>
      <c r="C174" s="252" t="s">
        <v>1033</v>
      </c>
      <c r="D174" s="6" t="s">
        <v>1358</v>
      </c>
      <c r="E174" s="6"/>
      <c r="F174" s="6" t="s">
        <v>1358</v>
      </c>
    </row>
    <row r="175" spans="1:6">
      <c r="A175" s="252">
        <v>778</v>
      </c>
      <c r="B175" s="252" t="s">
        <v>1038</v>
      </c>
      <c r="C175" s="252" t="s">
        <v>1039</v>
      </c>
      <c r="D175" s="6" t="s">
        <v>1358</v>
      </c>
      <c r="E175" s="6"/>
      <c r="F175" s="6" t="s">
        <v>1358</v>
      </c>
    </row>
    <row r="176" spans="1:6">
      <c r="A176" s="252">
        <v>780</v>
      </c>
      <c r="B176" s="252" t="s">
        <v>1020</v>
      </c>
      <c r="C176" s="252" t="s">
        <v>1045</v>
      </c>
      <c r="D176" s="6" t="s">
        <v>1358</v>
      </c>
      <c r="E176" s="6"/>
      <c r="F176" s="6" t="s">
        <v>1358</v>
      </c>
    </row>
    <row r="177" spans="1:6">
      <c r="A177" s="252">
        <v>783</v>
      </c>
      <c r="B177" s="252" t="s">
        <v>1049</v>
      </c>
      <c r="C177" s="252" t="s">
        <v>1050</v>
      </c>
      <c r="D177" s="260">
        <v>9838783600</v>
      </c>
      <c r="E177" s="259">
        <v>1.8900000000000001</v>
      </c>
      <c r="F177" s="261" t="s">
        <v>1362</v>
      </c>
    </row>
    <row r="178" spans="1:6">
      <c r="A178" s="252">
        <v>785</v>
      </c>
      <c r="B178" s="252" t="s">
        <v>1055</v>
      </c>
      <c r="C178" s="252" t="s">
        <v>1056</v>
      </c>
      <c r="D178" s="6" t="s">
        <v>1358</v>
      </c>
      <c r="E178" s="6"/>
      <c r="F178" s="6" t="s">
        <v>1358</v>
      </c>
    </row>
    <row r="179" spans="1:6">
      <c r="A179" s="252">
        <v>788</v>
      </c>
      <c r="B179" s="252" t="s">
        <v>1062</v>
      </c>
      <c r="C179" s="252" t="s">
        <v>1063</v>
      </c>
      <c r="D179" s="6" t="s">
        <v>1358</v>
      </c>
      <c r="E179" s="6"/>
      <c r="F179" s="6" t="s">
        <v>1358</v>
      </c>
    </row>
    <row r="180" spans="1:6">
      <c r="A180" s="252">
        <v>794</v>
      </c>
      <c r="B180" s="252" t="s">
        <v>1069</v>
      </c>
      <c r="C180" s="252" t="s">
        <v>1070</v>
      </c>
      <c r="D180" s="6" t="s">
        <v>1358</v>
      </c>
      <c r="E180" s="6"/>
      <c r="F180" s="6" t="s">
        <v>1358</v>
      </c>
    </row>
    <row r="181" spans="1:6">
      <c r="A181" s="252">
        <v>795</v>
      </c>
      <c r="B181" s="252" t="s">
        <v>940</v>
      </c>
      <c r="C181" s="252" t="s">
        <v>1073</v>
      </c>
      <c r="D181" s="260">
        <v>9532125200</v>
      </c>
      <c r="E181" s="259">
        <v>0.25</v>
      </c>
      <c r="F181" s="261" t="s">
        <v>1362</v>
      </c>
    </row>
    <row r="182" spans="1:6">
      <c r="A182" s="252">
        <v>796</v>
      </c>
      <c r="B182" s="252" t="s">
        <v>1078</v>
      </c>
      <c r="C182" s="252" t="s">
        <v>1079</v>
      </c>
      <c r="D182" s="6" t="s">
        <v>1358</v>
      </c>
      <c r="E182" s="6"/>
      <c r="F182" s="6" t="s">
        <v>1358</v>
      </c>
    </row>
    <row r="183" spans="1:6">
      <c r="A183" s="252">
        <v>799</v>
      </c>
      <c r="B183" s="252" t="s">
        <v>1083</v>
      </c>
      <c r="C183" s="252" t="s">
        <v>1084</v>
      </c>
      <c r="D183" s="6" t="s">
        <v>1358</v>
      </c>
      <c r="E183" s="6"/>
      <c r="F183" s="6" t="s">
        <v>1358</v>
      </c>
    </row>
    <row r="184" spans="1:6">
      <c r="A184" s="252">
        <v>844</v>
      </c>
      <c r="B184" s="252" t="s">
        <v>1089</v>
      </c>
      <c r="C184" s="252" t="s">
        <v>1090</v>
      </c>
      <c r="D184" s="6" t="s">
        <v>1358</v>
      </c>
      <c r="E184" s="6"/>
      <c r="F184" s="6" t="s">
        <v>1358</v>
      </c>
    </row>
    <row r="185" spans="1:6">
      <c r="A185" s="252">
        <v>845</v>
      </c>
      <c r="B185" s="252" t="s">
        <v>1093</v>
      </c>
      <c r="C185" s="252" t="s">
        <v>1094</v>
      </c>
      <c r="D185" s="6" t="s">
        <v>1358</v>
      </c>
      <c r="E185" s="6"/>
      <c r="F185" s="6" t="s">
        <v>1358</v>
      </c>
    </row>
    <row r="186" spans="1:6">
      <c r="A186" s="252">
        <v>847</v>
      </c>
      <c r="B186" s="252" t="s">
        <v>1097</v>
      </c>
      <c r="C186" s="252" t="s">
        <v>1098</v>
      </c>
      <c r="D186" s="6" t="s">
        <v>1358</v>
      </c>
      <c r="E186" s="6"/>
      <c r="F186" s="6" t="s">
        <v>1358</v>
      </c>
    </row>
    <row r="187" spans="1:6">
      <c r="A187" s="252">
        <v>848</v>
      </c>
      <c r="B187" s="252" t="s">
        <v>1102</v>
      </c>
      <c r="C187" s="252" t="s">
        <v>1103</v>
      </c>
      <c r="D187" s="6" t="s">
        <v>1358</v>
      </c>
      <c r="E187" s="6"/>
      <c r="F187" s="6" t="s">
        <v>1358</v>
      </c>
    </row>
    <row r="188" spans="1:6">
      <c r="A188" s="252">
        <v>849</v>
      </c>
      <c r="B188" s="252" t="s">
        <v>1108</v>
      </c>
      <c r="C188" s="252" t="s">
        <v>1109</v>
      </c>
      <c r="D188" s="6" t="s">
        <v>1358</v>
      </c>
      <c r="E188" s="6"/>
      <c r="F188" s="6" t="s">
        <v>1358</v>
      </c>
    </row>
    <row r="189" spans="1:6">
      <c r="A189" s="252">
        <v>851</v>
      </c>
      <c r="B189" s="252" t="s">
        <v>1114</v>
      </c>
      <c r="C189" s="252" t="s">
        <v>1115</v>
      </c>
      <c r="D189" s="6" t="s">
        <v>1358</v>
      </c>
      <c r="E189" s="6"/>
      <c r="F189" s="6" t="s">
        <v>1358</v>
      </c>
    </row>
    <row r="190" spans="1:6">
      <c r="A190" s="252">
        <v>852</v>
      </c>
      <c r="B190" s="252" t="s">
        <v>1120</v>
      </c>
      <c r="C190" s="252" t="s">
        <v>1121</v>
      </c>
      <c r="D190" s="6" t="s">
        <v>1358</v>
      </c>
      <c r="E190" s="6"/>
      <c r="F190" s="6" t="s">
        <v>1358</v>
      </c>
    </row>
    <row r="191" spans="1:6">
      <c r="A191" s="252">
        <v>853</v>
      </c>
      <c r="B191" s="252" t="s">
        <v>1124</v>
      </c>
      <c r="C191" s="252" t="s">
        <v>1125</v>
      </c>
      <c r="D191" s="258" t="s">
        <v>1368</v>
      </c>
      <c r="E191" s="259">
        <v>2.0383786022841588</v>
      </c>
      <c r="F191" s="261" t="s">
        <v>1360</v>
      </c>
    </row>
    <row r="192" spans="1:6">
      <c r="A192" s="252">
        <v>857</v>
      </c>
      <c r="B192" s="252" t="s">
        <v>1129</v>
      </c>
      <c r="C192" s="252" t="s">
        <v>1130</v>
      </c>
      <c r="D192" s="6" t="s">
        <v>1358</v>
      </c>
      <c r="E192" s="6"/>
      <c r="F192" s="6" t="s">
        <v>1358</v>
      </c>
    </row>
    <row r="193" spans="1:6">
      <c r="A193" s="252">
        <v>858</v>
      </c>
      <c r="B193" s="252" t="s">
        <v>1135</v>
      </c>
      <c r="C193" s="252" t="s">
        <v>1136</v>
      </c>
      <c r="D193" s="6" t="s">
        <v>1358</v>
      </c>
      <c r="E193" s="6"/>
      <c r="F193" s="6" t="s">
        <v>1358</v>
      </c>
    </row>
    <row r="194" spans="1:6">
      <c r="A194" s="252">
        <v>859</v>
      </c>
      <c r="B194" s="252" t="s">
        <v>1140</v>
      </c>
      <c r="C194" s="252" t="s">
        <v>1141</v>
      </c>
      <c r="D194" s="6" t="s">
        <v>1358</v>
      </c>
      <c r="E194" s="6"/>
      <c r="F194" s="6" t="s">
        <v>1358</v>
      </c>
    </row>
    <row r="195" spans="1:6">
      <c r="A195" s="252">
        <v>864</v>
      </c>
      <c r="B195" s="252" t="s">
        <v>1144</v>
      </c>
      <c r="C195" s="252" t="s">
        <v>1145</v>
      </c>
      <c r="D195" s="6" t="s">
        <v>1358</v>
      </c>
      <c r="E195" s="6"/>
      <c r="F195" s="6" t="s">
        <v>1358</v>
      </c>
    </row>
    <row r="196" spans="1:6">
      <c r="A196" s="252">
        <v>867</v>
      </c>
      <c r="B196" s="252" t="s">
        <v>1148</v>
      </c>
      <c r="C196" s="252" t="s">
        <v>1149</v>
      </c>
      <c r="D196" s="6" t="s">
        <v>1358</v>
      </c>
      <c r="E196" s="6"/>
      <c r="F196" s="6" t="s">
        <v>1358</v>
      </c>
    </row>
    <row r="197" spans="1:6">
      <c r="A197" s="252">
        <v>868</v>
      </c>
      <c r="B197" s="252" t="s">
        <v>1153</v>
      </c>
      <c r="C197" s="252" t="s">
        <v>1154</v>
      </c>
      <c r="D197" s="6" t="s">
        <v>1358</v>
      </c>
      <c r="E197" s="6"/>
      <c r="F197" s="6" t="s">
        <v>1358</v>
      </c>
    </row>
    <row r="198" spans="1:6">
      <c r="A198" s="252">
        <v>876</v>
      </c>
      <c r="B198" s="252" t="s">
        <v>1158</v>
      </c>
      <c r="C198" s="252" t="s">
        <v>1159</v>
      </c>
      <c r="D198" s="6" t="s">
        <v>1358</v>
      </c>
      <c r="E198" s="6"/>
      <c r="F198" s="6" t="s">
        <v>1358</v>
      </c>
    </row>
    <row r="199" spans="1:6">
      <c r="A199" s="252">
        <v>877</v>
      </c>
      <c r="B199" s="252" t="s">
        <v>1164</v>
      </c>
      <c r="C199" s="252" t="s">
        <v>1165</v>
      </c>
      <c r="D199" s="6" t="s">
        <v>1358</v>
      </c>
      <c r="E199" s="6"/>
      <c r="F199" s="6" t="s">
        <v>1358</v>
      </c>
    </row>
    <row r="200" spans="1:6">
      <c r="A200" s="252">
        <v>879</v>
      </c>
      <c r="B200" s="252" t="s">
        <v>1169</v>
      </c>
      <c r="C200" s="252" t="s">
        <v>1170</v>
      </c>
      <c r="D200" s="6" t="s">
        <v>1358</v>
      </c>
      <c r="E200" s="6"/>
      <c r="F200" s="6" t="s">
        <v>1358</v>
      </c>
    </row>
    <row r="201" spans="1:6">
      <c r="A201" s="252">
        <v>880</v>
      </c>
      <c r="B201" s="252" t="s">
        <v>1173</v>
      </c>
      <c r="C201" s="252" t="s">
        <v>1174</v>
      </c>
      <c r="D201" s="6" t="s">
        <v>1358</v>
      </c>
      <c r="E201" s="6"/>
      <c r="F201" s="6" t="s">
        <v>1358</v>
      </c>
    </row>
    <row r="202" spans="1:6">
      <c r="A202" s="252">
        <v>884</v>
      </c>
      <c r="B202" s="252" t="s">
        <v>1177</v>
      </c>
      <c r="C202" s="252" t="s">
        <v>1178</v>
      </c>
      <c r="D202" s="6" t="s">
        <v>1358</v>
      </c>
      <c r="E202" s="6"/>
      <c r="F202" s="6" t="s">
        <v>1358</v>
      </c>
    </row>
    <row r="203" spans="1:6">
      <c r="A203" s="252">
        <v>885</v>
      </c>
      <c r="B203" s="252" t="s">
        <v>1184</v>
      </c>
      <c r="C203" s="252" t="s">
        <v>1185</v>
      </c>
      <c r="D203" s="6" t="s">
        <v>1358</v>
      </c>
      <c r="E203" s="6"/>
      <c r="F203" s="6" t="s">
        <v>1358</v>
      </c>
    </row>
    <row r="204" spans="1:6">
      <c r="A204" s="252">
        <v>888</v>
      </c>
      <c r="B204" s="252" t="s">
        <v>1190</v>
      </c>
      <c r="C204" s="252" t="s">
        <v>1191</v>
      </c>
      <c r="D204" s="6" t="s">
        <v>1358</v>
      </c>
      <c r="E204" s="6"/>
      <c r="F204" s="6" t="s">
        <v>1358</v>
      </c>
    </row>
    <row r="205" spans="1:6">
      <c r="A205" s="252">
        <v>889</v>
      </c>
      <c r="B205" s="252" t="s">
        <v>1196</v>
      </c>
      <c r="C205" s="252" t="s">
        <v>1197</v>
      </c>
      <c r="D205" s="6" t="s">
        <v>1358</v>
      </c>
      <c r="E205" s="6"/>
      <c r="F205" s="6" t="s">
        <v>1358</v>
      </c>
    </row>
    <row r="206" spans="1:6">
      <c r="A206" s="252">
        <v>890</v>
      </c>
      <c r="B206" s="252" t="s">
        <v>1200</v>
      </c>
      <c r="C206" s="252" t="s">
        <v>1201</v>
      </c>
      <c r="D206" s="6" t="s">
        <v>1358</v>
      </c>
      <c r="E206" s="6"/>
      <c r="F206" s="6" t="s">
        <v>1358</v>
      </c>
    </row>
    <row r="207" spans="1:6">
      <c r="A207" s="252">
        <v>891</v>
      </c>
      <c r="B207" s="252" t="s">
        <v>1204</v>
      </c>
      <c r="C207" s="252" t="s">
        <v>1205</v>
      </c>
      <c r="D207" s="6" t="s">
        <v>1358</v>
      </c>
      <c r="E207" s="6"/>
      <c r="F207" s="6" t="s">
        <v>1358</v>
      </c>
    </row>
    <row r="208" spans="1:6">
      <c r="A208" s="252">
        <v>893</v>
      </c>
      <c r="B208" s="252" t="s">
        <v>918</v>
      </c>
      <c r="C208" s="252" t="s">
        <v>1211</v>
      </c>
      <c r="D208" s="6" t="s">
        <v>1358</v>
      </c>
      <c r="E208" s="6"/>
      <c r="F208" s="6" t="s">
        <v>1358</v>
      </c>
    </row>
    <row r="209" spans="1:6">
      <c r="A209" s="252">
        <v>895</v>
      </c>
      <c r="B209" s="252" t="s">
        <v>1214</v>
      </c>
      <c r="C209" s="252" t="s">
        <v>1215</v>
      </c>
      <c r="D209" s="6" t="s">
        <v>1358</v>
      </c>
      <c r="E209" s="6"/>
      <c r="F209" s="6" t="s">
        <v>1358</v>
      </c>
    </row>
    <row r="210" spans="1:6">
      <c r="A210" s="252">
        <v>905</v>
      </c>
      <c r="B210" s="252" t="s">
        <v>1218</v>
      </c>
      <c r="C210" s="252" t="s">
        <v>1219</v>
      </c>
      <c r="D210" s="6" t="s">
        <v>1358</v>
      </c>
      <c r="E210" s="6"/>
      <c r="F210" s="6" t="s">
        <v>1358</v>
      </c>
    </row>
    <row r="211" spans="1:6">
      <c r="A211" s="252">
        <v>908</v>
      </c>
      <c r="B211" s="252" t="s">
        <v>1223</v>
      </c>
      <c r="C211" s="252" t="s">
        <v>1224</v>
      </c>
      <c r="D211" s="6" t="s">
        <v>1358</v>
      </c>
      <c r="E211" s="6"/>
      <c r="F211" s="6" t="s">
        <v>1358</v>
      </c>
    </row>
    <row r="212" spans="1:6">
      <c r="A212" s="252">
        <v>909</v>
      </c>
      <c r="B212" s="252" t="s">
        <v>1229</v>
      </c>
      <c r="C212" s="252" t="s">
        <v>1230</v>
      </c>
      <c r="D212" s="6" t="s">
        <v>1358</v>
      </c>
      <c r="E212" s="6"/>
      <c r="F212" s="6" t="s">
        <v>1358</v>
      </c>
    </row>
    <row r="213" spans="1:6">
      <c r="A213" s="252">
        <v>912</v>
      </c>
      <c r="B213" s="252" t="s">
        <v>1233</v>
      </c>
      <c r="C213" s="252" t="s">
        <v>1234</v>
      </c>
      <c r="D213" s="6" t="s">
        <v>1358</v>
      </c>
      <c r="E213" s="6"/>
      <c r="F213" s="6" t="s">
        <v>1358</v>
      </c>
    </row>
    <row r="214" spans="1:6">
      <c r="A214" s="252">
        <v>913</v>
      </c>
      <c r="B214" s="252" t="s">
        <v>1240</v>
      </c>
      <c r="C214" s="252" t="s">
        <v>1241</v>
      </c>
      <c r="D214" s="6" t="s">
        <v>1358</v>
      </c>
      <c r="E214" s="6"/>
      <c r="F214" s="6" t="s">
        <v>1358</v>
      </c>
    </row>
    <row r="215" spans="1:6">
      <c r="A215" s="252">
        <v>915</v>
      </c>
      <c r="B215" s="252" t="s">
        <v>1245</v>
      </c>
      <c r="C215" s="252" t="s">
        <v>1246</v>
      </c>
      <c r="D215" s="6" t="s">
        <v>1358</v>
      </c>
      <c r="E215" s="6"/>
      <c r="F215" s="6" t="s">
        <v>1358</v>
      </c>
    </row>
    <row r="216" spans="1:6">
      <c r="A216" s="252">
        <v>916</v>
      </c>
      <c r="B216" s="252" t="s">
        <v>1249</v>
      </c>
      <c r="C216" s="252" t="s">
        <v>1250</v>
      </c>
      <c r="D216" s="6" t="s">
        <v>1358</v>
      </c>
      <c r="E216" s="6"/>
      <c r="F216" s="6" t="s">
        <v>1358</v>
      </c>
    </row>
    <row r="217" spans="1:6">
      <c r="A217" s="252">
        <v>919</v>
      </c>
      <c r="B217" s="252" t="s">
        <v>1256</v>
      </c>
      <c r="C217" s="252" t="s">
        <v>1257</v>
      </c>
      <c r="D217" s="6" t="s">
        <v>1358</v>
      </c>
      <c r="E217" s="6"/>
      <c r="F217" s="6" t="s">
        <v>1358</v>
      </c>
    </row>
    <row r="218" spans="1:6">
      <c r="A218" s="252">
        <v>921</v>
      </c>
      <c r="B218" s="252" t="s">
        <v>1262</v>
      </c>
      <c r="C218" s="252" t="s">
        <v>1263</v>
      </c>
      <c r="D218" s="6" t="s">
        <v>1358</v>
      </c>
      <c r="E218" s="6"/>
      <c r="F218" s="6" t="s">
        <v>1358</v>
      </c>
    </row>
    <row r="219" spans="1:6">
      <c r="A219" s="252">
        <v>922</v>
      </c>
      <c r="B219" s="252" t="s">
        <v>1269</v>
      </c>
      <c r="C219" s="252" t="s">
        <v>1270</v>
      </c>
      <c r="D219" s="6" t="s">
        <v>1358</v>
      </c>
      <c r="E219" s="6"/>
      <c r="F219" s="6" t="s">
        <v>1358</v>
      </c>
    </row>
    <row r="220" spans="1:6">
      <c r="A220" s="252">
        <v>924</v>
      </c>
      <c r="B220" s="252" t="s">
        <v>1274</v>
      </c>
      <c r="C220" s="252" t="s">
        <v>1275</v>
      </c>
      <c r="D220" s="258" t="s">
        <v>1369</v>
      </c>
      <c r="E220" s="259">
        <v>2.2216036451861054</v>
      </c>
      <c r="F220" s="261" t="s">
        <v>1360</v>
      </c>
    </row>
    <row r="221" spans="1:6">
      <c r="A221" s="252">
        <v>925</v>
      </c>
      <c r="B221" s="252" t="s">
        <v>1280</v>
      </c>
      <c r="C221" s="252" t="s">
        <v>1281</v>
      </c>
      <c r="D221" s="6" t="s">
        <v>1358</v>
      </c>
      <c r="E221" s="6"/>
      <c r="F221" s="6" t="s">
        <v>1358</v>
      </c>
    </row>
    <row r="222" spans="1:6">
      <c r="A222" s="252">
        <v>926</v>
      </c>
      <c r="B222" s="252" t="s">
        <v>1286</v>
      </c>
      <c r="C222" s="252" t="s">
        <v>1287</v>
      </c>
      <c r="D222" s="6" t="s">
        <v>1358</v>
      </c>
      <c r="E222" s="6"/>
      <c r="F222" s="6" t="s">
        <v>1358</v>
      </c>
    </row>
    <row r="223" spans="1:6">
      <c r="A223" s="252">
        <v>929</v>
      </c>
      <c r="B223" s="252" t="s">
        <v>1292</v>
      </c>
      <c r="C223" s="252" t="s">
        <v>1293</v>
      </c>
      <c r="D223" s="6" t="s">
        <v>1358</v>
      </c>
      <c r="E223" s="6"/>
      <c r="F223" s="6" t="s">
        <v>1358</v>
      </c>
    </row>
    <row r="224" spans="1:6">
      <c r="A224" s="252">
        <v>930</v>
      </c>
      <c r="B224" s="252" t="s">
        <v>1298</v>
      </c>
      <c r="C224" s="252" t="s">
        <v>1299</v>
      </c>
      <c r="D224" s="6" t="s">
        <v>1358</v>
      </c>
      <c r="E224" s="6"/>
      <c r="F224" s="6" t="s">
        <v>1358</v>
      </c>
    </row>
    <row r="225" spans="1:6">
      <c r="A225" s="252">
        <v>934</v>
      </c>
      <c r="B225" s="252" t="s">
        <v>1304</v>
      </c>
      <c r="C225" s="252" t="s">
        <v>1305</v>
      </c>
      <c r="D225" s="6" t="s">
        <v>1358</v>
      </c>
      <c r="E225" s="6"/>
      <c r="F225" s="6" t="s">
        <v>1358</v>
      </c>
    </row>
    <row r="226" spans="1:6">
      <c r="A226" s="252">
        <v>936</v>
      </c>
      <c r="B226" s="252" t="s">
        <v>1310</v>
      </c>
      <c r="C226" s="252" t="s">
        <v>1311</v>
      </c>
      <c r="D226" s="6" t="s">
        <v>1358</v>
      </c>
      <c r="E226" s="6"/>
      <c r="F226" s="6" t="s">
        <v>1358</v>
      </c>
    </row>
    <row r="227" spans="1:6">
      <c r="A227" s="252">
        <v>938</v>
      </c>
      <c r="B227" s="252" t="s">
        <v>1315</v>
      </c>
      <c r="C227" s="252" t="s">
        <v>1316</v>
      </c>
      <c r="D227" s="6" t="s">
        <v>1358</v>
      </c>
      <c r="E227" s="6"/>
      <c r="F227" s="6" t="s">
        <v>1358</v>
      </c>
    </row>
    <row r="228" spans="1:6">
      <c r="A228" s="252">
        <v>939</v>
      </c>
      <c r="B228" s="252" t="s">
        <v>1320</v>
      </c>
      <c r="C228" s="252" t="s">
        <v>1321</v>
      </c>
      <c r="D228" s="6" t="s">
        <v>1358</v>
      </c>
      <c r="E228" s="6"/>
      <c r="F228" s="6" t="s">
        <v>1358</v>
      </c>
    </row>
    <row r="229" spans="1:6">
      <c r="A229" s="252">
        <v>940</v>
      </c>
      <c r="B229" s="252" t="s">
        <v>1326</v>
      </c>
      <c r="C229" s="252" t="s">
        <v>1327</v>
      </c>
      <c r="D229" s="6" t="s">
        <v>1358</v>
      </c>
      <c r="E229" s="6"/>
      <c r="F229" s="6" t="s">
        <v>1358</v>
      </c>
    </row>
    <row r="230" spans="1:6">
      <c r="A230" s="252">
        <v>943</v>
      </c>
      <c r="B230" s="252" t="s">
        <v>1331</v>
      </c>
      <c r="C230" s="252" t="s">
        <v>1332</v>
      </c>
      <c r="D230" s="6" t="s">
        <v>1358</v>
      </c>
      <c r="E230" s="6"/>
      <c r="F230" s="6" t="s">
        <v>1358</v>
      </c>
    </row>
    <row r="231" spans="1:6">
      <c r="A231" s="252">
        <v>944</v>
      </c>
      <c r="B231" s="252" t="s">
        <v>1335</v>
      </c>
      <c r="C231" s="252" t="s">
        <v>1336</v>
      </c>
      <c r="D231" s="6" t="s">
        <v>1358</v>
      </c>
      <c r="E231" s="6"/>
      <c r="F231" s="6" t="s">
        <v>1358</v>
      </c>
    </row>
    <row r="232" spans="1:6">
      <c r="A232" s="252">
        <v>951</v>
      </c>
      <c r="B232" s="252" t="s">
        <v>1340</v>
      </c>
      <c r="C232" s="252" t="s">
        <v>1341</v>
      </c>
      <c r="D232" s="260">
        <v>9833133930</v>
      </c>
      <c r="E232" s="259">
        <v>18.810000000000002</v>
      </c>
      <c r="F232" s="261" t="s">
        <v>1362</v>
      </c>
    </row>
    <row r="233" spans="1:6">
      <c r="A233" s="252">
        <v>957</v>
      </c>
      <c r="B233" s="252" t="s">
        <v>1346</v>
      </c>
      <c r="C233" s="252" t="s">
        <v>1347</v>
      </c>
      <c r="D233" s="6" t="s">
        <v>1358</v>
      </c>
      <c r="E233" s="6"/>
      <c r="F233" s="6" t="s">
        <v>1358</v>
      </c>
    </row>
    <row r="234" spans="1:6">
      <c r="A234" s="252">
        <v>958</v>
      </c>
      <c r="B234" s="252" t="s">
        <v>1351</v>
      </c>
      <c r="C234" s="252" t="s">
        <v>1352</v>
      </c>
      <c r="D234" s="262" t="s">
        <v>1370</v>
      </c>
      <c r="E234" s="263">
        <v>100.39</v>
      </c>
      <c r="F234" s="261" t="s">
        <v>1371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AB94-BD48-4437-8011-5BDB8ACD7D38}">
  <dimension ref="A1:I233"/>
  <sheetViews>
    <sheetView topLeftCell="I2" workbookViewId="0">
      <selection activeCell="I2" sqref="I2"/>
    </sheetView>
  </sheetViews>
  <sheetFormatPr defaultRowHeight="15"/>
  <cols>
    <col min="1" max="1" width="9.140625" style="6"/>
    <col min="2" max="2" width="27.7109375" style="6" customWidth="1"/>
    <col min="3" max="3" width="9.42578125" style="6" bestFit="1" customWidth="1"/>
    <col min="4" max="4" width="13.85546875" style="6" bestFit="1" customWidth="1"/>
    <col min="5" max="5" width="13.42578125" style="6" customWidth="1"/>
    <col min="6" max="6" width="18.42578125" style="6" customWidth="1"/>
    <col min="7" max="7" width="13.28515625" style="6" customWidth="1"/>
    <col min="8" max="8" width="14.140625" style="6" bestFit="1" customWidth="1"/>
  </cols>
  <sheetData>
    <row r="1" spans="1:9">
      <c r="A1" s="193" t="s">
        <v>4</v>
      </c>
      <c r="B1" s="194" t="s">
        <v>1372</v>
      </c>
      <c r="C1" s="194" t="s">
        <v>1373</v>
      </c>
      <c r="D1" s="194" t="s">
        <v>1374</v>
      </c>
      <c r="E1" s="194" t="s">
        <v>1375</v>
      </c>
      <c r="F1" s="195" t="s">
        <v>1376</v>
      </c>
      <c r="G1" s="194" t="s">
        <v>1377</v>
      </c>
      <c r="H1" s="194" t="s">
        <v>1378</v>
      </c>
      <c r="I1" s="194" t="s">
        <v>1379</v>
      </c>
    </row>
    <row r="2" spans="1:9">
      <c r="A2" s="196">
        <v>22</v>
      </c>
      <c r="B2" s="103" t="s">
        <v>44</v>
      </c>
      <c r="C2" s="103" t="s">
        <v>50</v>
      </c>
      <c r="D2" s="103">
        <v>111</v>
      </c>
      <c r="E2" s="352">
        <v>1</v>
      </c>
      <c r="F2" s="17" t="s">
        <v>1380</v>
      </c>
      <c r="G2" s="198">
        <v>45327</v>
      </c>
      <c r="H2" s="197">
        <v>60221</v>
      </c>
      <c r="I2" s="199"/>
    </row>
    <row r="3" spans="1:9">
      <c r="A3" s="196">
        <v>43</v>
      </c>
      <c r="B3" s="103" t="s">
        <v>1381</v>
      </c>
      <c r="C3" s="103" t="s">
        <v>58</v>
      </c>
      <c r="D3" s="103">
        <v>112</v>
      </c>
      <c r="E3" s="201">
        <v>1</v>
      </c>
      <c r="F3" s="8" t="s">
        <v>1382</v>
      </c>
      <c r="G3" s="202">
        <v>45327</v>
      </c>
      <c r="H3" s="201">
        <v>60431</v>
      </c>
      <c r="I3" s="203"/>
    </row>
    <row r="4" spans="1:9">
      <c r="A4" s="196">
        <v>80</v>
      </c>
      <c r="B4" s="103" t="s">
        <v>1383</v>
      </c>
      <c r="C4" s="103" t="s">
        <v>64</v>
      </c>
      <c r="D4" s="103">
        <v>113</v>
      </c>
      <c r="E4" s="353">
        <v>1</v>
      </c>
      <c r="F4" s="204" t="s">
        <v>1384</v>
      </c>
      <c r="G4" s="205">
        <v>45394</v>
      </c>
      <c r="H4" s="201">
        <v>60801</v>
      </c>
      <c r="I4" s="203"/>
    </row>
    <row r="5" spans="1:9">
      <c r="A5" s="196">
        <v>87</v>
      </c>
      <c r="B5" s="103" t="s">
        <v>1385</v>
      </c>
      <c r="C5" s="103" t="s">
        <v>1386</v>
      </c>
      <c r="D5" s="103">
        <v>114</v>
      </c>
      <c r="E5" s="201">
        <v>1</v>
      </c>
      <c r="F5" s="17" t="s">
        <v>1387</v>
      </c>
      <c r="G5" s="206">
        <v>45359</v>
      </c>
      <c r="H5" s="201">
        <v>60871</v>
      </c>
      <c r="I5" s="203"/>
    </row>
    <row r="6" spans="1:9">
      <c r="A6" s="196">
        <v>120</v>
      </c>
      <c r="B6" s="103" t="s">
        <v>1388</v>
      </c>
      <c r="C6" s="103" t="s">
        <v>77</v>
      </c>
      <c r="D6" s="103">
        <v>115</v>
      </c>
      <c r="E6" s="353">
        <v>1</v>
      </c>
      <c r="F6" s="8" t="s">
        <v>1389</v>
      </c>
      <c r="G6" s="208">
        <v>45327</v>
      </c>
      <c r="H6" s="201">
        <v>61201</v>
      </c>
      <c r="I6" s="203"/>
    </row>
    <row r="7" spans="1:9">
      <c r="A7" s="196">
        <v>125</v>
      </c>
      <c r="B7" s="103" t="s">
        <v>1390</v>
      </c>
      <c r="C7" s="8" t="s">
        <v>83</v>
      </c>
      <c r="D7" s="209">
        <v>22</v>
      </c>
      <c r="E7" s="201">
        <v>4</v>
      </c>
      <c r="F7" s="201" t="s">
        <v>1391</v>
      </c>
      <c r="G7" s="208">
        <v>45084</v>
      </c>
      <c r="H7" s="210" t="s">
        <v>1392</v>
      </c>
      <c r="I7" s="203"/>
    </row>
    <row r="8" spans="1:9">
      <c r="A8" s="196">
        <v>130</v>
      </c>
      <c r="B8" s="103" t="s">
        <v>1393</v>
      </c>
      <c r="C8" s="103" t="s">
        <v>1394</v>
      </c>
      <c r="D8" s="103">
        <v>116</v>
      </c>
      <c r="E8" s="353">
        <v>1</v>
      </c>
      <c r="F8" s="10" t="s">
        <v>1395</v>
      </c>
      <c r="G8" s="198">
        <v>45489</v>
      </c>
      <c r="H8" s="201">
        <v>61301</v>
      </c>
      <c r="I8" s="203"/>
    </row>
    <row r="9" spans="1:9">
      <c r="A9" s="196">
        <v>133</v>
      </c>
      <c r="B9" s="103" t="s">
        <v>1396</v>
      </c>
      <c r="C9" s="8" t="s">
        <v>58</v>
      </c>
      <c r="D9" s="201">
        <v>72</v>
      </c>
      <c r="E9" s="201">
        <v>3</v>
      </c>
      <c r="F9" s="201" t="s">
        <v>1397</v>
      </c>
      <c r="G9" s="211">
        <v>45043</v>
      </c>
      <c r="H9" s="212" t="s">
        <v>1398</v>
      </c>
      <c r="I9" s="203"/>
    </row>
    <row r="10" spans="1:9">
      <c r="A10" s="196">
        <v>135</v>
      </c>
      <c r="B10" s="103" t="s">
        <v>1399</v>
      </c>
      <c r="C10" s="103" t="s">
        <v>1394</v>
      </c>
      <c r="D10" s="103">
        <v>117</v>
      </c>
      <c r="E10" s="353">
        <v>1</v>
      </c>
      <c r="F10" s="8" t="s">
        <v>1400</v>
      </c>
      <c r="G10" s="202">
        <v>45363</v>
      </c>
      <c r="H10" s="201">
        <v>61351</v>
      </c>
      <c r="I10" s="203"/>
    </row>
    <row r="11" spans="1:9">
      <c r="A11" s="8">
        <v>136</v>
      </c>
      <c r="B11" s="103" t="s">
        <v>1401</v>
      </c>
      <c r="C11" s="8" t="s">
        <v>58</v>
      </c>
      <c r="D11" s="201">
        <v>94</v>
      </c>
      <c r="E11" s="201">
        <v>4</v>
      </c>
      <c r="F11" s="213" t="s">
        <v>1402</v>
      </c>
      <c r="G11" s="208">
        <v>45056</v>
      </c>
      <c r="H11" s="212" t="s">
        <v>1403</v>
      </c>
      <c r="I11" s="203"/>
    </row>
    <row r="12" spans="1:9">
      <c r="A12" s="196">
        <v>140</v>
      </c>
      <c r="B12" s="103" t="s">
        <v>1404</v>
      </c>
      <c r="C12" s="103" t="s">
        <v>1405</v>
      </c>
      <c r="D12" s="103">
        <v>118</v>
      </c>
      <c r="E12" s="353">
        <v>1</v>
      </c>
      <c r="F12" s="8" t="s">
        <v>1406</v>
      </c>
      <c r="G12" s="202">
        <v>45362</v>
      </c>
      <c r="H12" s="201">
        <v>61401</v>
      </c>
      <c r="I12" s="203"/>
    </row>
    <row r="13" spans="1:9">
      <c r="A13" s="196">
        <v>142</v>
      </c>
      <c r="B13" s="103" t="s">
        <v>1407</v>
      </c>
      <c r="C13" s="103" t="s">
        <v>120</v>
      </c>
      <c r="D13" s="103">
        <v>119</v>
      </c>
      <c r="E13" s="201">
        <v>1</v>
      </c>
      <c r="F13" s="215" t="s">
        <v>1408</v>
      </c>
      <c r="G13" s="202">
        <v>45328</v>
      </c>
      <c r="H13" s="201">
        <v>61421</v>
      </c>
      <c r="I13" s="203"/>
    </row>
    <row r="14" spans="1:9">
      <c r="A14" s="196">
        <v>150</v>
      </c>
      <c r="B14" s="103" t="s">
        <v>1409</v>
      </c>
      <c r="C14" s="103" t="s">
        <v>129</v>
      </c>
      <c r="D14" s="103">
        <v>121</v>
      </c>
      <c r="E14" s="353">
        <v>1</v>
      </c>
      <c r="F14" s="216" t="s">
        <v>1410</v>
      </c>
      <c r="G14" s="202">
        <v>45328</v>
      </c>
      <c r="H14" s="201">
        <v>61501</v>
      </c>
      <c r="I14" s="203" t="s">
        <v>1411</v>
      </c>
    </row>
    <row r="15" spans="1:9">
      <c r="A15" s="196">
        <v>160</v>
      </c>
      <c r="B15" s="103" t="s">
        <v>1412</v>
      </c>
      <c r="C15" s="103" t="s">
        <v>71</v>
      </c>
      <c r="D15" s="103">
        <v>122</v>
      </c>
      <c r="E15" s="201">
        <v>1</v>
      </c>
      <c r="F15" s="8" t="s">
        <v>1413</v>
      </c>
      <c r="G15" s="202">
        <v>45328</v>
      </c>
      <c r="H15" s="201">
        <v>61601</v>
      </c>
      <c r="I15" s="203"/>
    </row>
    <row r="16" spans="1:9">
      <c r="A16" s="8">
        <v>165</v>
      </c>
      <c r="B16" s="103" t="s">
        <v>1414</v>
      </c>
      <c r="C16" s="8" t="s">
        <v>58</v>
      </c>
      <c r="D16" s="201">
        <v>73</v>
      </c>
      <c r="E16" s="353">
        <v>3</v>
      </c>
      <c r="F16" s="213" t="s">
        <v>1415</v>
      </c>
      <c r="G16" s="211">
        <v>45043</v>
      </c>
      <c r="H16" s="212" t="s">
        <v>1416</v>
      </c>
      <c r="I16" s="203"/>
    </row>
    <row r="17" spans="1:9">
      <c r="A17" s="8">
        <v>176</v>
      </c>
      <c r="B17" s="103" t="s">
        <v>1417</v>
      </c>
      <c r="C17" s="8" t="s">
        <v>58</v>
      </c>
      <c r="D17" s="201">
        <v>23</v>
      </c>
      <c r="E17" s="201">
        <v>4</v>
      </c>
      <c r="F17" s="213" t="s">
        <v>1418</v>
      </c>
      <c r="G17" s="211">
        <v>45043</v>
      </c>
      <c r="H17" s="212" t="s">
        <v>1419</v>
      </c>
      <c r="I17" s="203"/>
    </row>
    <row r="18" spans="1:9">
      <c r="A18" s="196">
        <v>178</v>
      </c>
      <c r="B18" s="103" t="s">
        <v>1420</v>
      </c>
      <c r="C18" s="103" t="s">
        <v>159</v>
      </c>
      <c r="D18" s="103">
        <v>124</v>
      </c>
      <c r="E18" s="353">
        <v>1</v>
      </c>
      <c r="F18" s="17" t="s">
        <v>1421</v>
      </c>
      <c r="G18" s="202">
        <v>45328</v>
      </c>
      <c r="H18" s="201">
        <v>61781</v>
      </c>
      <c r="I18" s="203"/>
    </row>
    <row r="19" spans="1:9">
      <c r="A19" s="196">
        <v>180</v>
      </c>
      <c r="B19" s="103" t="s">
        <v>1422</v>
      </c>
      <c r="C19" s="103" t="s">
        <v>58</v>
      </c>
      <c r="D19" s="103">
        <v>125</v>
      </c>
      <c r="E19" s="201">
        <v>1</v>
      </c>
      <c r="F19" s="8" t="s">
        <v>1423</v>
      </c>
      <c r="G19" s="202">
        <v>45362</v>
      </c>
      <c r="H19" s="201">
        <v>61801</v>
      </c>
      <c r="I19" s="203"/>
    </row>
    <row r="20" spans="1:9">
      <c r="A20" s="196">
        <v>196</v>
      </c>
      <c r="B20" s="103" t="s">
        <v>1424</v>
      </c>
      <c r="C20" s="103" t="s">
        <v>64</v>
      </c>
      <c r="D20" s="103">
        <v>41</v>
      </c>
      <c r="E20" s="353">
        <v>3</v>
      </c>
      <c r="F20" s="10" t="s">
        <v>1425</v>
      </c>
      <c r="G20" s="202">
        <v>45254</v>
      </c>
      <c r="H20" s="201" t="s">
        <v>1426</v>
      </c>
      <c r="I20" s="203"/>
    </row>
    <row r="21" spans="1:9">
      <c r="A21" s="196">
        <v>508</v>
      </c>
      <c r="B21" s="103" t="s">
        <v>1427</v>
      </c>
      <c r="C21" s="103" t="s">
        <v>129</v>
      </c>
      <c r="D21" s="103">
        <v>126</v>
      </c>
      <c r="E21" s="201">
        <v>1</v>
      </c>
      <c r="F21" s="201" t="s">
        <v>1428</v>
      </c>
      <c r="G21" s="198">
        <v>45489</v>
      </c>
      <c r="H21" s="201">
        <v>65081</v>
      </c>
      <c r="I21" s="203"/>
    </row>
    <row r="22" spans="1:9">
      <c r="A22" s="196">
        <v>510</v>
      </c>
      <c r="B22" s="201" t="s">
        <v>1429</v>
      </c>
      <c r="C22" s="201" t="s">
        <v>58</v>
      </c>
      <c r="D22" s="201">
        <v>63</v>
      </c>
      <c r="E22" s="353">
        <v>5</v>
      </c>
      <c r="F22" s="201" t="s">
        <v>1430</v>
      </c>
      <c r="G22" s="208">
        <v>45057</v>
      </c>
      <c r="H22" s="201" t="s">
        <v>1431</v>
      </c>
      <c r="I22" s="203"/>
    </row>
    <row r="23" spans="1:9">
      <c r="A23" s="196">
        <v>512</v>
      </c>
      <c r="B23" s="103" t="s">
        <v>1432</v>
      </c>
      <c r="C23" s="103" t="s">
        <v>189</v>
      </c>
      <c r="D23" s="103">
        <v>127</v>
      </c>
      <c r="E23" s="201">
        <v>1</v>
      </c>
      <c r="F23" s="8" t="s">
        <v>1433</v>
      </c>
      <c r="G23" s="202">
        <v>45488</v>
      </c>
      <c r="H23" s="201">
        <v>65121</v>
      </c>
      <c r="I23" s="203"/>
    </row>
    <row r="24" spans="1:9">
      <c r="A24" s="196">
        <v>514</v>
      </c>
      <c r="B24" s="103" t="s">
        <v>1434</v>
      </c>
      <c r="C24" s="103" t="s">
        <v>194</v>
      </c>
      <c r="D24" s="103">
        <v>128</v>
      </c>
      <c r="E24" s="353">
        <v>1</v>
      </c>
      <c r="F24" s="8" t="s">
        <v>1435</v>
      </c>
      <c r="G24" s="208">
        <v>45329</v>
      </c>
      <c r="H24" s="201">
        <v>65141</v>
      </c>
      <c r="I24" s="203" t="s">
        <v>1436</v>
      </c>
    </row>
    <row r="25" spans="1:9">
      <c r="A25" s="196">
        <v>515</v>
      </c>
      <c r="B25" s="103" t="s">
        <v>1437</v>
      </c>
      <c r="C25" s="201" t="s">
        <v>58</v>
      </c>
      <c r="D25" s="201">
        <v>55</v>
      </c>
      <c r="E25" s="201">
        <v>4</v>
      </c>
      <c r="F25" s="213" t="s">
        <v>1438</v>
      </c>
      <c r="G25" s="211">
        <v>45043</v>
      </c>
      <c r="H25" s="212" t="s">
        <v>1439</v>
      </c>
      <c r="I25" s="203"/>
    </row>
    <row r="26" spans="1:9">
      <c r="A26" s="196">
        <v>517</v>
      </c>
      <c r="B26" s="103" t="s">
        <v>1440</v>
      </c>
      <c r="C26" s="103" t="s">
        <v>1441</v>
      </c>
      <c r="D26" s="103">
        <v>129</v>
      </c>
      <c r="E26" s="353">
        <v>1</v>
      </c>
      <c r="F26" s="197" t="s">
        <v>1442</v>
      </c>
      <c r="G26" s="198">
        <v>45365</v>
      </c>
      <c r="H26" s="201">
        <v>65171</v>
      </c>
      <c r="I26" s="203"/>
    </row>
    <row r="27" spans="1:9">
      <c r="A27" s="196">
        <v>518</v>
      </c>
      <c r="B27" s="103" t="s">
        <v>1443</v>
      </c>
      <c r="C27" s="201" t="s">
        <v>58</v>
      </c>
      <c r="D27" s="201">
        <v>69</v>
      </c>
      <c r="E27" s="201">
        <v>6</v>
      </c>
      <c r="F27" s="213" t="s">
        <v>1444</v>
      </c>
      <c r="G27" s="211">
        <v>45058</v>
      </c>
      <c r="H27" s="210" t="s">
        <v>1445</v>
      </c>
      <c r="I27" s="203"/>
    </row>
    <row r="28" spans="1:9">
      <c r="A28" s="217">
        <v>519</v>
      </c>
      <c r="B28" s="218" t="s">
        <v>1446</v>
      </c>
      <c r="C28" s="218" t="s">
        <v>1447</v>
      </c>
      <c r="D28" s="218">
        <v>130</v>
      </c>
      <c r="E28" s="354">
        <v>1</v>
      </c>
      <c r="F28" s="3" t="s">
        <v>1448</v>
      </c>
      <c r="G28" s="219">
        <v>45817</v>
      </c>
      <c r="H28" s="3" t="s">
        <v>1449</v>
      </c>
      <c r="I28" s="203"/>
    </row>
    <row r="29" spans="1:9">
      <c r="A29" s="196">
        <v>520</v>
      </c>
      <c r="B29" s="103" t="s">
        <v>1450</v>
      </c>
      <c r="C29" s="201" t="s">
        <v>58</v>
      </c>
      <c r="D29" s="201">
        <v>40</v>
      </c>
      <c r="E29" s="201">
        <v>4</v>
      </c>
      <c r="F29" s="210" t="s">
        <v>1451</v>
      </c>
      <c r="G29" s="211">
        <v>45125</v>
      </c>
      <c r="H29" s="212" t="s">
        <v>1452</v>
      </c>
      <c r="I29" s="203"/>
    </row>
    <row r="30" spans="1:9">
      <c r="A30" s="196">
        <v>525</v>
      </c>
      <c r="B30" s="103" t="s">
        <v>1453</v>
      </c>
      <c r="C30" s="103" t="s">
        <v>1454</v>
      </c>
      <c r="D30" s="103">
        <v>131</v>
      </c>
      <c r="E30" s="353">
        <v>1</v>
      </c>
      <c r="F30" s="8" t="s">
        <v>1455</v>
      </c>
      <c r="G30" s="202">
        <v>45337</v>
      </c>
      <c r="H30" s="201">
        <v>65251</v>
      </c>
      <c r="I30" s="203"/>
    </row>
    <row r="31" spans="1:9">
      <c r="A31" s="196">
        <v>526</v>
      </c>
      <c r="B31" s="103" t="s">
        <v>1456</v>
      </c>
      <c r="C31" s="103" t="s">
        <v>1457</v>
      </c>
      <c r="D31" s="103">
        <v>132</v>
      </c>
      <c r="E31" s="201">
        <v>1</v>
      </c>
      <c r="F31" s="17" t="s">
        <v>1458</v>
      </c>
      <c r="G31" s="202">
        <v>45362</v>
      </c>
      <c r="H31" s="201">
        <v>65261</v>
      </c>
      <c r="I31" s="203"/>
    </row>
    <row r="32" spans="1:9">
      <c r="A32" s="196">
        <v>527</v>
      </c>
      <c r="B32" s="103" t="s">
        <v>1459</v>
      </c>
      <c r="C32" s="103" t="s">
        <v>1460</v>
      </c>
      <c r="D32" s="103">
        <v>133</v>
      </c>
      <c r="E32" s="353">
        <v>1</v>
      </c>
      <c r="F32" s="17" t="s">
        <v>1461</v>
      </c>
      <c r="G32" s="208">
        <v>45364</v>
      </c>
      <c r="H32" s="201">
        <v>65271</v>
      </c>
      <c r="I32" s="203"/>
    </row>
    <row r="33" spans="1:9">
      <c r="A33" s="196">
        <v>529</v>
      </c>
      <c r="B33" s="201" t="s">
        <v>240</v>
      </c>
      <c r="C33" s="201" t="s">
        <v>50</v>
      </c>
      <c r="D33" s="8">
        <v>38</v>
      </c>
      <c r="E33" s="201">
        <v>4</v>
      </c>
      <c r="F33" s="209" t="s">
        <v>1462</v>
      </c>
      <c r="G33" s="208">
        <v>45170</v>
      </c>
      <c r="H33" s="8" t="s">
        <v>1463</v>
      </c>
      <c r="I33" s="203"/>
    </row>
    <row r="34" spans="1:9">
      <c r="A34" s="196">
        <v>531</v>
      </c>
      <c r="B34" s="103" t="s">
        <v>1464</v>
      </c>
      <c r="C34" s="103" t="s">
        <v>251</v>
      </c>
      <c r="D34" s="103">
        <v>134</v>
      </c>
      <c r="E34" s="353">
        <v>1</v>
      </c>
      <c r="F34" s="215" t="s">
        <v>1465</v>
      </c>
      <c r="G34" s="208">
        <v>45364</v>
      </c>
      <c r="H34" s="201">
        <v>65311</v>
      </c>
      <c r="I34" s="203"/>
    </row>
    <row r="35" spans="1:9">
      <c r="A35" s="196">
        <v>534</v>
      </c>
      <c r="B35" s="103" t="s">
        <v>1466</v>
      </c>
      <c r="C35" s="103" t="s">
        <v>58</v>
      </c>
      <c r="D35" s="103">
        <v>135</v>
      </c>
      <c r="E35" s="355">
        <v>3</v>
      </c>
      <c r="F35" s="17" t="s">
        <v>1467</v>
      </c>
      <c r="G35" s="205">
        <v>45819</v>
      </c>
      <c r="H35" s="220" t="s">
        <v>1468</v>
      </c>
      <c r="I35" s="203"/>
    </row>
    <row r="36" spans="1:9">
      <c r="A36" s="196">
        <v>535</v>
      </c>
      <c r="B36" s="103" t="s">
        <v>1469</v>
      </c>
      <c r="C36" s="103" t="s">
        <v>263</v>
      </c>
      <c r="D36" s="207">
        <v>136</v>
      </c>
      <c r="E36" s="353">
        <v>1</v>
      </c>
      <c r="F36" s="8" t="s">
        <v>1470</v>
      </c>
      <c r="G36" s="208">
        <v>45359</v>
      </c>
      <c r="H36" s="201">
        <v>65351</v>
      </c>
      <c r="I36" s="203"/>
    </row>
    <row r="37" spans="1:9">
      <c r="A37" s="196">
        <v>536</v>
      </c>
      <c r="B37" s="103" t="s">
        <v>1471</v>
      </c>
      <c r="C37" s="103" t="s">
        <v>251</v>
      </c>
      <c r="D37" s="103">
        <v>137</v>
      </c>
      <c r="E37" s="356">
        <v>1</v>
      </c>
      <c r="F37" s="221" t="s">
        <v>1472</v>
      </c>
      <c r="G37" s="198">
        <v>45391</v>
      </c>
      <c r="H37" s="197">
        <v>65361</v>
      </c>
      <c r="I37" s="203"/>
    </row>
    <row r="38" spans="1:9">
      <c r="A38" s="196">
        <v>544</v>
      </c>
      <c r="B38" s="201" t="s">
        <v>1473</v>
      </c>
      <c r="C38" s="201" t="s">
        <v>58</v>
      </c>
      <c r="D38" s="103">
        <v>39</v>
      </c>
      <c r="E38" s="353">
        <v>4</v>
      </c>
      <c r="F38" s="213" t="s">
        <v>1474</v>
      </c>
      <c r="G38" s="211">
        <v>45043</v>
      </c>
      <c r="H38" s="212" t="s">
        <v>1475</v>
      </c>
      <c r="I38" s="203"/>
    </row>
    <row r="39" spans="1:9">
      <c r="A39" s="196">
        <v>546</v>
      </c>
      <c r="B39" s="201" t="s">
        <v>105</v>
      </c>
      <c r="C39" s="201" t="s">
        <v>58</v>
      </c>
      <c r="D39" s="201">
        <v>68</v>
      </c>
      <c r="E39" s="201">
        <v>4</v>
      </c>
      <c r="F39" s="213" t="s">
        <v>1476</v>
      </c>
      <c r="G39" s="211">
        <v>45061</v>
      </c>
      <c r="H39" s="212" t="s">
        <v>1477</v>
      </c>
      <c r="I39" s="203"/>
    </row>
    <row r="40" spans="1:9">
      <c r="A40" s="196">
        <v>547</v>
      </c>
      <c r="B40" s="103" t="s">
        <v>1478</v>
      </c>
      <c r="C40" s="103" t="s">
        <v>58</v>
      </c>
      <c r="D40" s="103">
        <v>139</v>
      </c>
      <c r="E40" s="353">
        <v>1</v>
      </c>
      <c r="F40" s="8" t="s">
        <v>1479</v>
      </c>
      <c r="G40" s="202">
        <v>45329</v>
      </c>
      <c r="H40" s="201">
        <v>65471</v>
      </c>
      <c r="I40" s="203"/>
    </row>
    <row r="41" spans="1:9">
      <c r="A41" s="196">
        <v>548</v>
      </c>
      <c r="B41" s="103" t="s">
        <v>1480</v>
      </c>
      <c r="C41" s="201" t="s">
        <v>263</v>
      </c>
      <c r="D41" s="201">
        <v>99</v>
      </c>
      <c r="E41" s="201">
        <v>7</v>
      </c>
      <c r="F41" s="213" t="s">
        <v>1481</v>
      </c>
      <c r="G41" s="208">
        <v>45250</v>
      </c>
      <c r="H41" s="212" t="s">
        <v>1482</v>
      </c>
      <c r="I41" s="203"/>
    </row>
    <row r="42" spans="1:9">
      <c r="A42" s="196">
        <v>549</v>
      </c>
      <c r="B42" s="103" t="s">
        <v>1483</v>
      </c>
      <c r="C42" s="103" t="s">
        <v>58</v>
      </c>
      <c r="D42" s="103">
        <v>140</v>
      </c>
      <c r="E42" s="353">
        <v>1</v>
      </c>
      <c r="F42" s="8" t="s">
        <v>1484</v>
      </c>
      <c r="G42" s="202">
        <v>45329</v>
      </c>
      <c r="H42" s="201">
        <v>65491</v>
      </c>
      <c r="I42" s="203"/>
    </row>
    <row r="43" spans="1:9">
      <c r="A43" s="196">
        <v>550</v>
      </c>
      <c r="B43" s="201" t="s">
        <v>151</v>
      </c>
      <c r="C43" s="201" t="s">
        <v>58</v>
      </c>
      <c r="D43" s="218">
        <v>35</v>
      </c>
      <c r="E43" s="201">
        <v>4</v>
      </c>
      <c r="F43" s="213" t="s">
        <v>1485</v>
      </c>
      <c r="G43" s="211">
        <v>45043</v>
      </c>
      <c r="H43" s="212" t="s">
        <v>1486</v>
      </c>
      <c r="I43" s="203"/>
    </row>
    <row r="44" spans="1:9">
      <c r="A44" s="196">
        <v>553</v>
      </c>
      <c r="B44" s="103" t="s">
        <v>1487</v>
      </c>
      <c r="C44" s="103" t="s">
        <v>1488</v>
      </c>
      <c r="D44" s="103">
        <v>141</v>
      </c>
      <c r="E44" s="353">
        <v>2</v>
      </c>
      <c r="F44" s="10" t="s">
        <v>1489</v>
      </c>
      <c r="G44" s="202">
        <v>45842</v>
      </c>
      <c r="H44" s="201" t="s">
        <v>1490</v>
      </c>
      <c r="I44" s="203"/>
    </row>
    <row r="45" spans="1:9">
      <c r="A45" s="217">
        <v>558</v>
      </c>
      <c r="B45" s="218" t="s">
        <v>1491</v>
      </c>
      <c r="C45" s="218" t="s">
        <v>1492</v>
      </c>
      <c r="D45" s="218">
        <v>142</v>
      </c>
      <c r="E45" s="3">
        <v>1</v>
      </c>
      <c r="F45" s="3" t="s">
        <v>1493</v>
      </c>
      <c r="G45" s="219">
        <v>45359</v>
      </c>
      <c r="H45" s="3">
        <v>65581</v>
      </c>
      <c r="I45" s="203"/>
    </row>
    <row r="46" spans="1:9">
      <c r="A46" s="196">
        <v>559</v>
      </c>
      <c r="B46" s="103" t="s">
        <v>1494</v>
      </c>
      <c r="C46" s="201" t="s">
        <v>58</v>
      </c>
      <c r="D46" s="201">
        <v>67</v>
      </c>
      <c r="E46" s="353">
        <v>4</v>
      </c>
      <c r="F46" s="213" t="s">
        <v>1495</v>
      </c>
      <c r="G46" s="211">
        <v>45099</v>
      </c>
      <c r="H46" s="212" t="s">
        <v>1496</v>
      </c>
      <c r="I46" s="203"/>
    </row>
    <row r="47" spans="1:9">
      <c r="A47" s="222">
        <v>560</v>
      </c>
      <c r="B47" s="100" t="s">
        <v>1497</v>
      </c>
      <c r="C47" s="100" t="s">
        <v>1498</v>
      </c>
      <c r="D47" s="100">
        <v>143</v>
      </c>
      <c r="E47" s="355">
        <v>1</v>
      </c>
      <c r="F47" s="220" t="s">
        <v>1499</v>
      </c>
      <c r="G47" s="205">
        <v>45364</v>
      </c>
      <c r="H47" s="220">
        <v>65601</v>
      </c>
      <c r="I47" s="203"/>
    </row>
    <row r="48" spans="1:9">
      <c r="A48" s="196">
        <v>563</v>
      </c>
      <c r="B48" s="201" t="s">
        <v>329</v>
      </c>
      <c r="C48" s="201" t="s">
        <v>58</v>
      </c>
      <c r="D48" s="218">
        <v>78</v>
      </c>
      <c r="E48" s="353">
        <v>4</v>
      </c>
      <c r="F48" s="213" t="s">
        <v>1500</v>
      </c>
      <c r="G48" s="211">
        <v>45043</v>
      </c>
      <c r="H48" s="212" t="s">
        <v>1501</v>
      </c>
      <c r="I48" s="203"/>
    </row>
    <row r="49" spans="1:9">
      <c r="A49" s="196">
        <v>564</v>
      </c>
      <c r="B49" s="201" t="s">
        <v>1502</v>
      </c>
      <c r="C49" s="201" t="s">
        <v>58</v>
      </c>
      <c r="D49" s="218">
        <v>86</v>
      </c>
      <c r="E49" s="201">
        <v>4</v>
      </c>
      <c r="F49" s="213" t="s">
        <v>1503</v>
      </c>
      <c r="G49" s="211">
        <v>45043</v>
      </c>
      <c r="H49" s="212" t="s">
        <v>1504</v>
      </c>
      <c r="I49" s="203"/>
    </row>
    <row r="50" spans="1:9">
      <c r="A50" s="201">
        <v>565</v>
      </c>
      <c r="B50" s="103" t="s">
        <v>1505</v>
      </c>
      <c r="C50" s="103" t="s">
        <v>1405</v>
      </c>
      <c r="D50" s="8">
        <v>81</v>
      </c>
      <c r="E50" s="353">
        <v>1</v>
      </c>
      <c r="F50" s="213" t="s">
        <v>1506</v>
      </c>
      <c r="G50" s="211">
        <v>45364</v>
      </c>
      <c r="H50" s="212">
        <v>65651</v>
      </c>
      <c r="I50" s="203"/>
    </row>
    <row r="51" spans="1:9">
      <c r="A51" s="223">
        <v>566</v>
      </c>
      <c r="B51" s="224" t="s">
        <v>1507</v>
      </c>
      <c r="C51" s="224" t="s">
        <v>1508</v>
      </c>
      <c r="D51" s="224">
        <v>145</v>
      </c>
      <c r="E51" s="356">
        <v>1</v>
      </c>
      <c r="F51" s="94" t="s">
        <v>1509</v>
      </c>
      <c r="G51" s="198">
        <v>45364</v>
      </c>
      <c r="H51" s="197">
        <v>65661</v>
      </c>
      <c r="I51" s="203"/>
    </row>
    <row r="52" spans="1:9">
      <c r="A52" s="196">
        <v>568</v>
      </c>
      <c r="B52" s="103" t="s">
        <v>1510</v>
      </c>
      <c r="C52" s="103" t="s">
        <v>1460</v>
      </c>
      <c r="D52" s="103">
        <v>146</v>
      </c>
      <c r="E52" s="353">
        <v>1</v>
      </c>
      <c r="F52" s="8" t="s">
        <v>1511</v>
      </c>
      <c r="G52" s="208">
        <v>45366</v>
      </c>
      <c r="H52" s="201">
        <v>65681</v>
      </c>
      <c r="I52" s="203"/>
    </row>
    <row r="53" spans="1:9">
      <c r="A53" s="196">
        <v>571</v>
      </c>
      <c r="B53" s="103" t="s">
        <v>1512</v>
      </c>
      <c r="C53" s="103" t="s">
        <v>1457</v>
      </c>
      <c r="D53" s="103">
        <v>147</v>
      </c>
      <c r="E53" s="201">
        <v>1</v>
      </c>
      <c r="F53" s="10" t="s">
        <v>1513</v>
      </c>
      <c r="G53" s="198">
        <v>45475</v>
      </c>
      <c r="H53" s="201">
        <v>65711</v>
      </c>
      <c r="I53" s="203"/>
    </row>
    <row r="54" spans="1:9">
      <c r="A54" s="196">
        <v>573</v>
      </c>
      <c r="B54" s="201" t="s">
        <v>143</v>
      </c>
      <c r="C54" s="201" t="s">
        <v>58</v>
      </c>
      <c r="D54" s="201">
        <v>81</v>
      </c>
      <c r="E54" s="353">
        <v>3</v>
      </c>
      <c r="F54" s="213" t="s">
        <v>1514</v>
      </c>
      <c r="G54" s="225">
        <v>45036</v>
      </c>
      <c r="H54" s="212" t="s">
        <v>1515</v>
      </c>
      <c r="I54" s="203"/>
    </row>
    <row r="55" spans="1:9">
      <c r="A55" s="196">
        <v>575</v>
      </c>
      <c r="B55" s="103" t="s">
        <v>1516</v>
      </c>
      <c r="C55" s="103" t="s">
        <v>1517</v>
      </c>
      <c r="D55" s="103">
        <v>148</v>
      </c>
      <c r="E55" s="201">
        <v>3</v>
      </c>
      <c r="F55" s="215" t="s">
        <v>1518</v>
      </c>
      <c r="G55" s="202">
        <v>45483</v>
      </c>
      <c r="H55" s="201" t="s">
        <v>1519</v>
      </c>
      <c r="I55" s="203"/>
    </row>
    <row r="56" spans="1:9">
      <c r="A56" s="196">
        <v>576</v>
      </c>
      <c r="B56" s="103" t="s">
        <v>1520</v>
      </c>
      <c r="C56" s="103" t="s">
        <v>1521</v>
      </c>
      <c r="D56" s="103">
        <v>149</v>
      </c>
      <c r="E56" s="353">
        <v>1</v>
      </c>
      <c r="F56" s="17" t="s">
        <v>1522</v>
      </c>
      <c r="G56" s="205">
        <v>45366</v>
      </c>
      <c r="H56" s="201">
        <v>65761</v>
      </c>
      <c r="I56" s="203"/>
    </row>
    <row r="57" spans="1:9">
      <c r="A57" s="196">
        <v>577</v>
      </c>
      <c r="B57" s="103" t="s">
        <v>1523</v>
      </c>
      <c r="C57" s="103" t="s">
        <v>1521</v>
      </c>
      <c r="D57" s="103">
        <v>150</v>
      </c>
      <c r="E57" s="201">
        <v>3</v>
      </c>
      <c r="F57" s="8" t="s">
        <v>1524</v>
      </c>
      <c r="G57" s="208">
        <v>45819</v>
      </c>
      <c r="H57" s="201" t="s">
        <v>1525</v>
      </c>
      <c r="I57" s="203"/>
    </row>
    <row r="58" spans="1:9">
      <c r="A58" s="196">
        <v>578</v>
      </c>
      <c r="B58" s="103" t="s">
        <v>1526</v>
      </c>
      <c r="C58" s="103" t="s">
        <v>1394</v>
      </c>
      <c r="D58" s="103">
        <v>151</v>
      </c>
      <c r="E58" s="353">
        <v>1</v>
      </c>
      <c r="F58" s="94" t="s">
        <v>1527</v>
      </c>
      <c r="G58" s="226">
        <v>45341</v>
      </c>
      <c r="H58" s="201">
        <v>65781</v>
      </c>
      <c r="I58" s="203"/>
    </row>
    <row r="59" spans="1:9">
      <c r="A59" s="196">
        <v>579</v>
      </c>
      <c r="B59" s="201" t="s">
        <v>1528</v>
      </c>
      <c r="C59" s="201" t="s">
        <v>58</v>
      </c>
      <c r="D59" s="201">
        <v>80</v>
      </c>
      <c r="E59" s="201">
        <v>4</v>
      </c>
      <c r="F59" s="213" t="s">
        <v>1529</v>
      </c>
      <c r="G59" s="211">
        <v>45043</v>
      </c>
      <c r="H59" s="212" t="s">
        <v>1530</v>
      </c>
      <c r="I59" s="203"/>
    </row>
    <row r="60" spans="1:9">
      <c r="A60" s="196">
        <v>580</v>
      </c>
      <c r="B60" s="103" t="s">
        <v>1531</v>
      </c>
      <c r="C60" s="103" t="s">
        <v>1521</v>
      </c>
      <c r="D60" s="103">
        <v>152</v>
      </c>
      <c r="E60" s="353">
        <v>1</v>
      </c>
      <c r="F60" s="8" t="s">
        <v>1532</v>
      </c>
      <c r="G60" s="208">
        <v>45329</v>
      </c>
      <c r="H60" s="201">
        <v>65801</v>
      </c>
      <c r="I60" s="203"/>
    </row>
    <row r="61" spans="1:9">
      <c r="A61" s="196">
        <v>582</v>
      </c>
      <c r="B61" s="103" t="s">
        <v>1533</v>
      </c>
      <c r="C61" s="103" t="s">
        <v>1457</v>
      </c>
      <c r="D61" s="103">
        <v>153</v>
      </c>
      <c r="E61" s="201">
        <v>1</v>
      </c>
      <c r="F61" s="94" t="s">
        <v>1534</v>
      </c>
      <c r="G61" s="198">
        <v>45488</v>
      </c>
      <c r="H61" s="201">
        <v>65821</v>
      </c>
      <c r="I61" s="203"/>
    </row>
    <row r="62" spans="1:9">
      <c r="A62" s="196">
        <v>583</v>
      </c>
      <c r="B62" s="103" t="s">
        <v>1535</v>
      </c>
      <c r="C62" s="103" t="s">
        <v>1536</v>
      </c>
      <c r="D62" s="103">
        <v>154</v>
      </c>
      <c r="E62" s="353">
        <v>1</v>
      </c>
      <c r="F62" s="227" t="s">
        <v>1537</v>
      </c>
      <c r="G62" s="202">
        <v>45366</v>
      </c>
      <c r="H62" s="201">
        <v>65831</v>
      </c>
      <c r="I62" s="203"/>
    </row>
    <row r="63" spans="1:9">
      <c r="A63" s="196">
        <v>586</v>
      </c>
      <c r="B63" s="201" t="s">
        <v>1538</v>
      </c>
      <c r="C63" s="201" t="s">
        <v>58</v>
      </c>
      <c r="D63" s="201">
        <v>66</v>
      </c>
      <c r="E63" s="201">
        <v>4</v>
      </c>
      <c r="F63" s="213" t="s">
        <v>1539</v>
      </c>
      <c r="G63" s="211">
        <v>45057</v>
      </c>
      <c r="H63" s="212" t="s">
        <v>1540</v>
      </c>
      <c r="I63" s="203"/>
    </row>
    <row r="64" spans="1:9">
      <c r="A64" s="196">
        <v>589</v>
      </c>
      <c r="B64" s="103" t="s">
        <v>1541</v>
      </c>
      <c r="C64" s="103" t="s">
        <v>1508</v>
      </c>
      <c r="D64" s="103">
        <v>155</v>
      </c>
      <c r="E64" s="353">
        <v>1</v>
      </c>
      <c r="F64" s="17" t="s">
        <v>1542</v>
      </c>
      <c r="G64" s="208">
        <v>45378</v>
      </c>
      <c r="H64" s="201">
        <v>65891</v>
      </c>
      <c r="I64" s="203"/>
    </row>
    <row r="65" spans="1:9">
      <c r="A65" s="196">
        <v>590</v>
      </c>
      <c r="B65" s="103" t="s">
        <v>1543</v>
      </c>
      <c r="C65" s="103" t="s">
        <v>1536</v>
      </c>
      <c r="D65" s="103">
        <v>156</v>
      </c>
      <c r="E65" s="201">
        <v>1</v>
      </c>
      <c r="F65" s="227" t="s">
        <v>1544</v>
      </c>
      <c r="G65" s="208">
        <v>45377</v>
      </c>
      <c r="H65" s="201">
        <v>65901</v>
      </c>
      <c r="I65" s="203"/>
    </row>
    <row r="66" spans="1:9">
      <c r="A66" s="196">
        <v>594</v>
      </c>
      <c r="B66" s="103" t="s">
        <v>1545</v>
      </c>
      <c r="C66" s="103" t="s">
        <v>1394</v>
      </c>
      <c r="D66" s="103">
        <v>157</v>
      </c>
      <c r="E66" s="353">
        <v>3</v>
      </c>
      <c r="F66" s="10" t="s">
        <v>1546</v>
      </c>
      <c r="G66" s="202">
        <v>45341</v>
      </c>
      <c r="H66" s="201">
        <v>65941</v>
      </c>
      <c r="I66" s="203"/>
    </row>
    <row r="67" spans="1:9">
      <c r="A67" s="196">
        <v>597</v>
      </c>
      <c r="B67" s="103" t="s">
        <v>1547</v>
      </c>
      <c r="C67" s="103" t="s">
        <v>1517</v>
      </c>
      <c r="D67" s="103">
        <v>158</v>
      </c>
      <c r="E67" s="201">
        <v>1</v>
      </c>
      <c r="F67" s="227" t="s">
        <v>1548</v>
      </c>
      <c r="G67" s="202">
        <v>45330</v>
      </c>
      <c r="H67" s="201">
        <v>65971</v>
      </c>
      <c r="I67" s="203"/>
    </row>
    <row r="68" spans="1:9">
      <c r="A68" s="196">
        <v>598</v>
      </c>
      <c r="B68" s="103" t="s">
        <v>1549</v>
      </c>
      <c r="C68" s="103" t="s">
        <v>446</v>
      </c>
      <c r="D68" s="103">
        <v>159</v>
      </c>
      <c r="E68" s="353">
        <v>2</v>
      </c>
      <c r="F68" s="8" t="s">
        <v>1550</v>
      </c>
      <c r="G68" s="202">
        <v>45328</v>
      </c>
      <c r="H68" s="201" t="s">
        <v>1551</v>
      </c>
      <c r="I68" s="203"/>
    </row>
    <row r="69" spans="1:9">
      <c r="A69" s="196">
        <v>599</v>
      </c>
      <c r="B69" s="103" t="s">
        <v>1552</v>
      </c>
      <c r="C69" s="103" t="s">
        <v>1553</v>
      </c>
      <c r="D69" s="103">
        <v>161</v>
      </c>
      <c r="E69" s="201">
        <v>1</v>
      </c>
      <c r="F69" s="8" t="s">
        <v>1554</v>
      </c>
      <c r="G69" s="208">
        <v>45378</v>
      </c>
      <c r="H69" s="201">
        <v>65991</v>
      </c>
      <c r="I69" s="203"/>
    </row>
    <row r="70" spans="1:9">
      <c r="A70" s="196">
        <v>600</v>
      </c>
      <c r="B70" s="103" t="s">
        <v>1555</v>
      </c>
      <c r="C70" s="103" t="s">
        <v>1556</v>
      </c>
      <c r="D70" s="103">
        <v>162</v>
      </c>
      <c r="E70" s="353">
        <v>1</v>
      </c>
      <c r="F70" s="8" t="s">
        <v>1557</v>
      </c>
      <c r="G70" s="208">
        <v>45377</v>
      </c>
      <c r="H70" s="201">
        <v>66001</v>
      </c>
      <c r="I70" s="203"/>
    </row>
    <row r="71" spans="1:9">
      <c r="A71" s="196">
        <v>601</v>
      </c>
      <c r="B71" s="201" t="s">
        <v>1558</v>
      </c>
      <c r="C71" s="201" t="s">
        <v>112</v>
      </c>
      <c r="D71" s="201">
        <v>76</v>
      </c>
      <c r="E71" s="201">
        <v>4</v>
      </c>
      <c r="F71" s="201" t="s">
        <v>1559</v>
      </c>
      <c r="G71" s="208">
        <v>45180</v>
      </c>
      <c r="H71" s="212" t="s">
        <v>1560</v>
      </c>
      <c r="I71" s="203"/>
    </row>
    <row r="72" spans="1:9">
      <c r="A72" s="196">
        <v>604</v>
      </c>
      <c r="B72" s="103" t="s">
        <v>1561</v>
      </c>
      <c r="C72" s="103" t="s">
        <v>1556</v>
      </c>
      <c r="D72" s="103">
        <v>163</v>
      </c>
      <c r="E72" s="353">
        <v>1</v>
      </c>
      <c r="F72" s="8" t="s">
        <v>1562</v>
      </c>
      <c r="G72" s="202">
        <v>45337</v>
      </c>
      <c r="H72" s="201">
        <v>66041</v>
      </c>
      <c r="I72" s="203"/>
    </row>
    <row r="73" spans="1:9">
      <c r="A73" s="196">
        <v>605</v>
      </c>
      <c r="B73" s="103" t="s">
        <v>1549</v>
      </c>
      <c r="C73" s="103" t="s">
        <v>1553</v>
      </c>
      <c r="D73" s="103">
        <v>164</v>
      </c>
      <c r="E73" s="201">
        <v>1</v>
      </c>
      <c r="F73" s="17" t="s">
        <v>1563</v>
      </c>
      <c r="G73" s="202">
        <v>45378</v>
      </c>
      <c r="H73" s="201">
        <v>66051</v>
      </c>
      <c r="I73" s="203"/>
    </row>
    <row r="74" spans="1:9">
      <c r="A74" s="196">
        <v>606</v>
      </c>
      <c r="B74" s="103" t="s">
        <v>1564</v>
      </c>
      <c r="C74" s="103" t="s">
        <v>1536</v>
      </c>
      <c r="D74" s="103">
        <v>165</v>
      </c>
      <c r="E74" s="353">
        <v>1</v>
      </c>
      <c r="F74" s="228" t="s">
        <v>1565</v>
      </c>
      <c r="G74" s="205">
        <v>45378</v>
      </c>
      <c r="H74" s="201">
        <v>66061</v>
      </c>
      <c r="I74" s="203"/>
    </row>
    <row r="75" spans="1:9">
      <c r="A75" s="196">
        <v>607</v>
      </c>
      <c r="B75" s="103" t="s">
        <v>1566</v>
      </c>
      <c r="C75" s="103" t="s">
        <v>1521</v>
      </c>
      <c r="D75" s="103">
        <v>166</v>
      </c>
      <c r="E75" s="201">
        <v>1</v>
      </c>
      <c r="F75" s="8" t="s">
        <v>1567</v>
      </c>
      <c r="G75" s="208">
        <v>45379</v>
      </c>
      <c r="H75" s="201">
        <v>66071</v>
      </c>
      <c r="I75" s="203"/>
    </row>
    <row r="76" spans="1:9">
      <c r="A76" s="196">
        <v>608</v>
      </c>
      <c r="B76" s="103" t="s">
        <v>1568</v>
      </c>
      <c r="C76" s="103" t="s">
        <v>1521</v>
      </c>
      <c r="D76" s="103">
        <v>167</v>
      </c>
      <c r="E76" s="353">
        <v>1</v>
      </c>
      <c r="F76" s="227" t="s">
        <v>1569</v>
      </c>
      <c r="G76" s="208">
        <v>45384</v>
      </c>
      <c r="H76" s="201">
        <v>66081</v>
      </c>
      <c r="I76" s="203"/>
    </row>
    <row r="77" spans="1:9">
      <c r="A77" s="196">
        <v>610</v>
      </c>
      <c r="B77" s="103" t="s">
        <v>1570</v>
      </c>
      <c r="C77" s="103" t="s">
        <v>1571</v>
      </c>
      <c r="D77" s="103">
        <v>168</v>
      </c>
      <c r="E77" s="201">
        <v>1</v>
      </c>
      <c r="F77" s="10" t="s">
        <v>1572</v>
      </c>
      <c r="G77" s="198">
        <v>45384</v>
      </c>
      <c r="H77" s="201">
        <v>66101</v>
      </c>
      <c r="I77" s="203"/>
    </row>
    <row r="78" spans="1:9">
      <c r="A78" s="196">
        <v>613</v>
      </c>
      <c r="B78" s="201" t="s">
        <v>503</v>
      </c>
      <c r="C78" s="201" t="s">
        <v>58</v>
      </c>
      <c r="D78" s="201">
        <v>70</v>
      </c>
      <c r="E78" s="353">
        <v>4</v>
      </c>
      <c r="F78" s="213" t="s">
        <v>1573</v>
      </c>
      <c r="G78" s="208">
        <v>45056</v>
      </c>
      <c r="H78" s="210" t="s">
        <v>1574</v>
      </c>
      <c r="I78" s="203"/>
    </row>
    <row r="79" spans="1:9">
      <c r="A79" s="196">
        <v>617</v>
      </c>
      <c r="B79" s="103" t="s">
        <v>1575</v>
      </c>
      <c r="C79" s="103" t="s">
        <v>1576</v>
      </c>
      <c r="D79" s="103">
        <v>169</v>
      </c>
      <c r="E79" s="201">
        <v>1</v>
      </c>
      <c r="F79" s="8" t="s">
        <v>1577</v>
      </c>
      <c r="G79" s="202">
        <v>45462</v>
      </c>
      <c r="H79" s="201">
        <v>66171</v>
      </c>
      <c r="I79" s="203"/>
    </row>
    <row r="80" spans="1:9">
      <c r="A80" s="196">
        <v>618</v>
      </c>
      <c r="B80" s="201" t="s">
        <v>1578</v>
      </c>
      <c r="C80" s="201" t="s">
        <v>459</v>
      </c>
      <c r="D80" s="201">
        <v>79</v>
      </c>
      <c r="E80" s="353">
        <v>4</v>
      </c>
      <c r="F80" s="213" t="s">
        <v>1579</v>
      </c>
      <c r="G80" s="211">
        <v>45166</v>
      </c>
      <c r="H80" s="212" t="s">
        <v>1580</v>
      </c>
      <c r="I80" s="203"/>
    </row>
    <row r="81" spans="1:9">
      <c r="A81" s="196">
        <v>619</v>
      </c>
      <c r="B81" s="201" t="s">
        <v>1581</v>
      </c>
      <c r="C81" s="201" t="s">
        <v>58</v>
      </c>
      <c r="D81" s="201">
        <v>43</v>
      </c>
      <c r="E81" s="201">
        <v>4</v>
      </c>
      <c r="F81" s="213" t="s">
        <v>1582</v>
      </c>
      <c r="G81" s="211">
        <v>45043</v>
      </c>
      <c r="H81" s="210" t="s">
        <v>1583</v>
      </c>
      <c r="I81" s="203"/>
    </row>
    <row r="82" spans="1:9">
      <c r="A82" s="196">
        <v>622</v>
      </c>
      <c r="B82" s="201" t="s">
        <v>1584</v>
      </c>
      <c r="C82" s="201" t="s">
        <v>58</v>
      </c>
      <c r="D82" s="201">
        <v>19</v>
      </c>
      <c r="E82" s="357">
        <v>3</v>
      </c>
      <c r="F82" s="229" t="s">
        <v>1585</v>
      </c>
      <c r="G82" s="230">
        <v>45043</v>
      </c>
      <c r="H82" s="212" t="s">
        <v>1586</v>
      </c>
      <c r="I82" s="203"/>
    </row>
    <row r="83" spans="1:9">
      <c r="A83" s="196">
        <v>623</v>
      </c>
      <c r="B83" s="103" t="s">
        <v>1587</v>
      </c>
      <c r="C83" s="103" t="s">
        <v>1405</v>
      </c>
      <c r="D83" s="103">
        <v>170</v>
      </c>
      <c r="E83" s="201">
        <v>3</v>
      </c>
      <c r="F83" s="8" t="s">
        <v>1588</v>
      </c>
      <c r="G83" s="208">
        <v>45819</v>
      </c>
      <c r="H83" s="196" t="s">
        <v>1589</v>
      </c>
      <c r="I83" s="214"/>
    </row>
    <row r="84" spans="1:9">
      <c r="A84" s="196">
        <v>624</v>
      </c>
      <c r="B84" s="103" t="s">
        <v>1590</v>
      </c>
      <c r="C84" s="103" t="s">
        <v>1521</v>
      </c>
      <c r="D84" s="103">
        <v>171</v>
      </c>
      <c r="E84" s="352">
        <v>1</v>
      </c>
      <c r="F84" s="204" t="s">
        <v>1591</v>
      </c>
      <c r="G84" s="226">
        <v>45384</v>
      </c>
      <c r="H84" s="201">
        <v>66241</v>
      </c>
      <c r="I84" s="214"/>
    </row>
    <row r="85" spans="1:9" ht="15" customHeight="1">
      <c r="A85" s="196">
        <v>625</v>
      </c>
      <c r="B85" s="103" t="s">
        <v>1592</v>
      </c>
      <c r="C85" s="103" t="s">
        <v>1593</v>
      </c>
      <c r="D85" s="103">
        <v>172</v>
      </c>
      <c r="E85" s="201">
        <v>2</v>
      </c>
      <c r="F85" s="8" t="s">
        <v>1594</v>
      </c>
      <c r="G85" s="198">
        <v>45359</v>
      </c>
      <c r="H85" s="201" t="s">
        <v>1595</v>
      </c>
      <c r="I85" s="214"/>
    </row>
    <row r="86" spans="1:9" ht="15" customHeight="1">
      <c r="A86" s="196">
        <v>626</v>
      </c>
      <c r="B86" s="201" t="s">
        <v>1596</v>
      </c>
      <c r="C86" s="201" t="s">
        <v>58</v>
      </c>
      <c r="D86" s="201">
        <v>82</v>
      </c>
      <c r="E86" s="357">
        <v>6</v>
      </c>
      <c r="F86" s="229" t="s">
        <v>1597</v>
      </c>
      <c r="G86" s="230">
        <v>45043</v>
      </c>
      <c r="H86" s="212" t="s">
        <v>1598</v>
      </c>
      <c r="I86" s="214"/>
    </row>
    <row r="87" spans="1:9" ht="15" customHeight="1">
      <c r="A87" s="196">
        <v>627</v>
      </c>
      <c r="B87" s="103" t="s">
        <v>1599</v>
      </c>
      <c r="C87" s="103" t="s">
        <v>1488</v>
      </c>
      <c r="D87" s="103">
        <v>173</v>
      </c>
      <c r="E87" s="201">
        <v>1</v>
      </c>
      <c r="F87" s="8" t="s">
        <v>1600</v>
      </c>
      <c r="G87" s="198">
        <v>45490</v>
      </c>
      <c r="H87" s="196">
        <v>66271</v>
      </c>
      <c r="I87" s="214"/>
    </row>
    <row r="88" spans="1:9">
      <c r="A88" s="196">
        <v>629</v>
      </c>
      <c r="B88" s="103" t="s">
        <v>1601</v>
      </c>
      <c r="C88" s="103" t="s">
        <v>1521</v>
      </c>
      <c r="D88" s="103">
        <v>174</v>
      </c>
      <c r="E88" s="352">
        <v>1</v>
      </c>
      <c r="F88" s="204" t="s">
        <v>1602</v>
      </c>
      <c r="G88" s="231">
        <v>45338</v>
      </c>
      <c r="H88" s="201">
        <v>66291</v>
      </c>
      <c r="I88" s="214"/>
    </row>
    <row r="89" spans="1:9">
      <c r="A89" s="196">
        <v>631</v>
      </c>
      <c r="B89" s="201" t="s">
        <v>1603</v>
      </c>
      <c r="C89" s="201" t="s">
        <v>58</v>
      </c>
      <c r="D89" s="201">
        <v>75</v>
      </c>
      <c r="E89" s="355">
        <v>3</v>
      </c>
      <c r="F89" s="229" t="s">
        <v>1604</v>
      </c>
      <c r="G89" s="230">
        <v>45043</v>
      </c>
      <c r="H89" s="212" t="s">
        <v>1605</v>
      </c>
      <c r="I89" s="214"/>
    </row>
    <row r="90" spans="1:9">
      <c r="A90" s="196">
        <v>632</v>
      </c>
      <c r="B90" s="103" t="s">
        <v>1606</v>
      </c>
      <c r="C90" s="103" t="s">
        <v>1553</v>
      </c>
      <c r="D90" s="103">
        <v>175</v>
      </c>
      <c r="E90" s="353">
        <v>1</v>
      </c>
      <c r="F90" s="201" t="s">
        <v>1607</v>
      </c>
      <c r="G90" s="208">
        <v>45481</v>
      </c>
      <c r="H90" s="196">
        <v>66321</v>
      </c>
      <c r="I90" s="214"/>
    </row>
    <row r="91" spans="1:9">
      <c r="A91" s="196">
        <v>633</v>
      </c>
      <c r="B91" s="103" t="s">
        <v>1608</v>
      </c>
      <c r="C91" s="103" t="s">
        <v>1457</v>
      </c>
      <c r="D91" s="103">
        <v>176</v>
      </c>
      <c r="E91" s="201">
        <v>1</v>
      </c>
      <c r="F91" s="8" t="s">
        <v>1609</v>
      </c>
      <c r="G91" s="198">
        <v>45489</v>
      </c>
      <c r="H91" s="196">
        <v>66331</v>
      </c>
      <c r="I91" s="214"/>
    </row>
    <row r="92" spans="1:9">
      <c r="A92" s="196">
        <v>635</v>
      </c>
      <c r="B92" s="103" t="s">
        <v>1610</v>
      </c>
      <c r="C92" s="103" t="s">
        <v>1536</v>
      </c>
      <c r="D92" s="103">
        <v>177</v>
      </c>
      <c r="E92" s="352">
        <v>1</v>
      </c>
      <c r="F92" s="232" t="s">
        <v>1611</v>
      </c>
      <c r="G92" s="226">
        <v>45341</v>
      </c>
      <c r="H92" s="201">
        <v>66351</v>
      </c>
      <c r="I92" s="214"/>
    </row>
    <row r="93" spans="1:9">
      <c r="A93" s="196">
        <v>636</v>
      </c>
      <c r="B93" s="103" t="s">
        <v>1612</v>
      </c>
      <c r="C93" s="103" t="s">
        <v>1521</v>
      </c>
      <c r="D93" s="103">
        <v>178</v>
      </c>
      <c r="E93" s="201">
        <v>1</v>
      </c>
      <c r="F93" s="8" t="s">
        <v>1613</v>
      </c>
      <c r="G93" s="208">
        <v>45384</v>
      </c>
      <c r="H93" s="201">
        <v>66361</v>
      </c>
      <c r="I93" s="214"/>
    </row>
    <row r="94" spans="1:9">
      <c r="A94" s="196">
        <v>639</v>
      </c>
      <c r="B94" s="103" t="s">
        <v>1614</v>
      </c>
      <c r="C94" s="103" t="s">
        <v>1521</v>
      </c>
      <c r="D94" s="103">
        <v>179</v>
      </c>
      <c r="E94" s="353">
        <v>1</v>
      </c>
      <c r="F94" s="8" t="s">
        <v>1615</v>
      </c>
      <c r="G94" s="208">
        <v>45338</v>
      </c>
      <c r="H94" s="201">
        <v>66391</v>
      </c>
      <c r="I94" s="214"/>
    </row>
    <row r="95" spans="1:9">
      <c r="A95" s="196">
        <v>640</v>
      </c>
      <c r="B95" s="201" t="s">
        <v>599</v>
      </c>
      <c r="C95" s="201" t="s">
        <v>58</v>
      </c>
      <c r="D95" s="201">
        <v>42</v>
      </c>
      <c r="E95" s="201">
        <v>4</v>
      </c>
      <c r="F95" s="213" t="s">
        <v>1616</v>
      </c>
      <c r="G95" s="211">
        <v>45043</v>
      </c>
      <c r="H95" s="212" t="s">
        <v>1617</v>
      </c>
      <c r="I95" s="214"/>
    </row>
    <row r="96" spans="1:9">
      <c r="A96" s="196">
        <v>641</v>
      </c>
      <c r="B96" s="103" t="s">
        <v>1618</v>
      </c>
      <c r="C96" s="103" t="s">
        <v>1521</v>
      </c>
      <c r="D96" s="103">
        <v>180</v>
      </c>
      <c r="E96" s="353">
        <v>1</v>
      </c>
      <c r="F96" s="8" t="s">
        <v>1619</v>
      </c>
      <c r="G96" s="208">
        <v>45474</v>
      </c>
      <c r="H96" s="201">
        <v>66411</v>
      </c>
      <c r="I96" s="214"/>
    </row>
    <row r="97" spans="1:9">
      <c r="A97" s="196">
        <v>642</v>
      </c>
      <c r="B97" s="103" t="s">
        <v>1620</v>
      </c>
      <c r="C97" s="103" t="s">
        <v>1521</v>
      </c>
      <c r="D97" s="103">
        <v>181</v>
      </c>
      <c r="E97" s="201">
        <v>1</v>
      </c>
      <c r="F97" s="8" t="s">
        <v>1621</v>
      </c>
      <c r="G97" s="208">
        <v>45394</v>
      </c>
      <c r="H97" s="201">
        <v>66421</v>
      </c>
      <c r="I97" s="214"/>
    </row>
    <row r="98" spans="1:9">
      <c r="A98" s="196">
        <v>643</v>
      </c>
      <c r="B98" s="103" t="s">
        <v>1622</v>
      </c>
      <c r="C98" s="103" t="s">
        <v>1571</v>
      </c>
      <c r="D98" s="103">
        <v>182</v>
      </c>
      <c r="E98" s="353">
        <v>2</v>
      </c>
      <c r="F98" s="94" t="s">
        <v>1623</v>
      </c>
      <c r="G98" s="226">
        <v>45818</v>
      </c>
      <c r="H98" s="201" t="s">
        <v>1624</v>
      </c>
      <c r="I98" s="214"/>
    </row>
    <row r="99" spans="1:9">
      <c r="A99" s="196">
        <v>645</v>
      </c>
      <c r="B99" s="103" t="s">
        <v>1625</v>
      </c>
      <c r="C99" s="103" t="s">
        <v>1521</v>
      </c>
      <c r="D99" s="103">
        <v>183</v>
      </c>
      <c r="E99" s="201">
        <v>2</v>
      </c>
      <c r="F99" s="8" t="s">
        <v>1626</v>
      </c>
      <c r="G99" s="208">
        <v>45809</v>
      </c>
      <c r="H99" s="201" t="s">
        <v>1627</v>
      </c>
      <c r="I99" s="214"/>
    </row>
    <row r="100" spans="1:9">
      <c r="A100" s="196">
        <v>646</v>
      </c>
      <c r="B100" s="103" t="s">
        <v>1628</v>
      </c>
      <c r="C100" s="103" t="s">
        <v>1556</v>
      </c>
      <c r="D100" s="103">
        <v>184</v>
      </c>
      <c r="E100" s="353">
        <v>1</v>
      </c>
      <c r="F100" s="94" t="s">
        <v>1629</v>
      </c>
      <c r="G100" s="226">
        <v>45394</v>
      </c>
      <c r="H100" s="201">
        <v>66461</v>
      </c>
      <c r="I100" s="214"/>
    </row>
    <row r="101" spans="1:9">
      <c r="A101" s="196">
        <v>647</v>
      </c>
      <c r="B101" s="103" t="s">
        <v>1630</v>
      </c>
      <c r="C101" s="103" t="s">
        <v>1521</v>
      </c>
      <c r="D101" s="103">
        <v>185</v>
      </c>
      <c r="E101" s="201">
        <v>1</v>
      </c>
      <c r="F101" s="8" t="s">
        <v>1631</v>
      </c>
      <c r="G101" s="208">
        <v>45348</v>
      </c>
      <c r="H101" s="201">
        <v>66471</v>
      </c>
      <c r="I101" s="214"/>
    </row>
    <row r="102" spans="1:9">
      <c r="A102" s="196">
        <v>648</v>
      </c>
      <c r="B102" s="201" t="s">
        <v>1632</v>
      </c>
      <c r="C102" s="201" t="s">
        <v>58</v>
      </c>
      <c r="D102" s="201">
        <v>20</v>
      </c>
      <c r="E102" s="353">
        <v>4</v>
      </c>
      <c r="F102" s="213" t="s">
        <v>1633</v>
      </c>
      <c r="G102" s="211">
        <v>45846</v>
      </c>
      <c r="H102" s="212" t="s">
        <v>1634</v>
      </c>
      <c r="I102" s="214"/>
    </row>
    <row r="103" spans="1:9">
      <c r="A103" s="196">
        <v>649</v>
      </c>
      <c r="B103" s="103" t="s">
        <v>1635</v>
      </c>
      <c r="C103" s="103" t="s">
        <v>1553</v>
      </c>
      <c r="D103" s="103">
        <v>186</v>
      </c>
      <c r="E103" s="201">
        <v>1</v>
      </c>
      <c r="F103" s="213" t="s">
        <v>1636</v>
      </c>
      <c r="G103" s="198">
        <v>45337</v>
      </c>
      <c r="H103" s="201">
        <v>66491</v>
      </c>
      <c r="I103" s="214"/>
    </row>
    <row r="104" spans="1:9">
      <c r="A104" s="196">
        <v>650</v>
      </c>
      <c r="B104" s="103" t="s">
        <v>1637</v>
      </c>
      <c r="C104" s="103" t="s">
        <v>1498</v>
      </c>
      <c r="D104" s="103">
        <v>187</v>
      </c>
      <c r="E104" s="353">
        <v>1</v>
      </c>
      <c r="F104" s="213" t="s">
        <v>1638</v>
      </c>
      <c r="G104" s="198">
        <v>45490</v>
      </c>
      <c r="H104" s="201">
        <v>66501</v>
      </c>
      <c r="I104" s="214"/>
    </row>
    <row r="105" spans="1:9">
      <c r="A105" s="196">
        <v>651</v>
      </c>
      <c r="B105" s="103" t="s">
        <v>1639</v>
      </c>
      <c r="C105" s="103" t="s">
        <v>1640</v>
      </c>
      <c r="D105" s="103">
        <v>188</v>
      </c>
      <c r="E105" s="201">
        <v>1</v>
      </c>
      <c r="F105" s="220" t="s">
        <v>1641</v>
      </c>
      <c r="G105" s="202">
        <v>45397</v>
      </c>
      <c r="H105" s="201">
        <v>66511</v>
      </c>
      <c r="I105" s="214"/>
    </row>
    <row r="106" spans="1:9">
      <c r="A106" s="196">
        <v>652</v>
      </c>
      <c r="B106" s="103" t="s">
        <v>1642</v>
      </c>
      <c r="C106" s="103" t="s">
        <v>1536</v>
      </c>
      <c r="D106" s="103">
        <v>189</v>
      </c>
      <c r="E106" s="353">
        <v>1</v>
      </c>
      <c r="F106" s="227" t="s">
        <v>1643</v>
      </c>
      <c r="G106" s="202">
        <v>45397</v>
      </c>
      <c r="H106" s="201">
        <v>66521</v>
      </c>
      <c r="I106" s="214"/>
    </row>
    <row r="107" spans="1:9">
      <c r="A107" s="196">
        <v>653</v>
      </c>
      <c r="B107" s="103" t="s">
        <v>1644</v>
      </c>
      <c r="C107" s="103" t="s">
        <v>1460</v>
      </c>
      <c r="D107" s="103">
        <v>190</v>
      </c>
      <c r="E107" s="201">
        <v>1</v>
      </c>
      <c r="F107" s="94" t="s">
        <v>1645</v>
      </c>
      <c r="G107" s="206">
        <v>45343</v>
      </c>
      <c r="H107" s="220">
        <v>66531</v>
      </c>
      <c r="I107" s="214"/>
    </row>
    <row r="108" spans="1:9">
      <c r="A108" s="196">
        <v>654</v>
      </c>
      <c r="B108" s="103" t="s">
        <v>1646</v>
      </c>
      <c r="C108" s="103" t="s">
        <v>1517</v>
      </c>
      <c r="D108" s="103">
        <v>191</v>
      </c>
      <c r="E108" s="358">
        <v>1</v>
      </c>
      <c r="F108" s="227" t="s">
        <v>1647</v>
      </c>
      <c r="G108" s="198">
        <v>45491</v>
      </c>
      <c r="H108" s="201">
        <v>66541</v>
      </c>
      <c r="I108" s="200"/>
    </row>
    <row r="109" spans="1:9">
      <c r="A109" s="196">
        <v>656</v>
      </c>
      <c r="B109" s="103" t="s">
        <v>1648</v>
      </c>
      <c r="C109" s="201" t="s">
        <v>58</v>
      </c>
      <c r="D109" s="201">
        <v>74</v>
      </c>
      <c r="E109" s="201">
        <v>4</v>
      </c>
      <c r="F109" s="234" t="s">
        <v>1649</v>
      </c>
      <c r="G109" s="235">
        <v>45043</v>
      </c>
      <c r="H109" s="236" t="s">
        <v>1650</v>
      </c>
      <c r="I109" s="214"/>
    </row>
    <row r="110" spans="1:9">
      <c r="A110" s="196">
        <v>657</v>
      </c>
      <c r="B110" s="201" t="s">
        <v>685</v>
      </c>
      <c r="C110" s="201" t="s">
        <v>120</v>
      </c>
      <c r="D110" s="201">
        <v>89</v>
      </c>
      <c r="E110" s="353">
        <v>4</v>
      </c>
      <c r="F110" s="8" t="s">
        <v>1651</v>
      </c>
      <c r="G110" s="208">
        <v>45189</v>
      </c>
      <c r="H110" s="209" t="s">
        <v>1652</v>
      </c>
      <c r="I110" s="214"/>
    </row>
    <row r="111" spans="1:9">
      <c r="A111" s="196">
        <v>659</v>
      </c>
      <c r="B111" s="103" t="s">
        <v>1653</v>
      </c>
      <c r="C111" s="103" t="s">
        <v>1498</v>
      </c>
      <c r="D111" s="103">
        <v>192</v>
      </c>
      <c r="E111" s="201">
        <v>1</v>
      </c>
      <c r="F111" s="201" t="s">
        <v>1654</v>
      </c>
      <c r="G111" s="202">
        <v>45481</v>
      </c>
      <c r="H111" s="201">
        <v>66591</v>
      </c>
      <c r="I111" s="214"/>
    </row>
    <row r="112" spans="1:9">
      <c r="A112" s="196">
        <v>660</v>
      </c>
      <c r="B112" s="103" t="s">
        <v>1655</v>
      </c>
      <c r="C112" s="103" t="s">
        <v>1447</v>
      </c>
      <c r="D112" s="103">
        <v>193</v>
      </c>
      <c r="E112" s="353">
        <v>1</v>
      </c>
      <c r="F112" s="220" t="s">
        <v>1656</v>
      </c>
      <c r="G112" s="205">
        <v>45343</v>
      </c>
      <c r="H112" s="201">
        <v>66601</v>
      </c>
      <c r="I112" s="214"/>
    </row>
    <row r="113" spans="1:9">
      <c r="A113" s="196">
        <v>661</v>
      </c>
      <c r="B113" s="103" t="s">
        <v>1657</v>
      </c>
      <c r="C113" s="103" t="s">
        <v>1508</v>
      </c>
      <c r="D113" s="103">
        <v>194</v>
      </c>
      <c r="E113" s="201">
        <v>1</v>
      </c>
      <c r="F113" s="8" t="s">
        <v>1658</v>
      </c>
      <c r="G113" s="202">
        <v>45397</v>
      </c>
      <c r="H113" s="201">
        <v>66611</v>
      </c>
      <c r="I113" s="214"/>
    </row>
    <row r="114" spans="1:9">
      <c r="A114" s="196">
        <v>662</v>
      </c>
      <c r="B114" s="201" t="s">
        <v>708</v>
      </c>
      <c r="C114" s="201" t="s">
        <v>58</v>
      </c>
      <c r="D114" s="201">
        <v>50</v>
      </c>
      <c r="E114" s="353">
        <v>6</v>
      </c>
      <c r="F114" s="213" t="s">
        <v>1659</v>
      </c>
      <c r="G114" s="211">
        <v>45043</v>
      </c>
      <c r="H114" s="212" t="s">
        <v>1660</v>
      </c>
      <c r="I114" s="214"/>
    </row>
    <row r="115" spans="1:9">
      <c r="A115" s="196">
        <v>663</v>
      </c>
      <c r="B115" s="103" t="s">
        <v>1661</v>
      </c>
      <c r="C115" s="103" t="s">
        <v>1492</v>
      </c>
      <c r="D115" s="103">
        <v>160</v>
      </c>
      <c r="E115" s="201">
        <v>1</v>
      </c>
      <c r="F115" s="174" t="s">
        <v>1662</v>
      </c>
      <c r="G115" s="198">
        <v>45329</v>
      </c>
      <c r="H115" s="201">
        <v>66631</v>
      </c>
      <c r="I115" s="214"/>
    </row>
    <row r="116" spans="1:9">
      <c r="A116" s="196">
        <v>664</v>
      </c>
      <c r="B116" s="103" t="s">
        <v>1663</v>
      </c>
      <c r="C116" s="103" t="s">
        <v>1394</v>
      </c>
      <c r="D116" s="103">
        <v>195</v>
      </c>
      <c r="E116" s="353">
        <v>1</v>
      </c>
      <c r="F116" s="17" t="s">
        <v>1664</v>
      </c>
      <c r="G116" s="205">
        <v>45467</v>
      </c>
      <c r="H116" s="201">
        <v>66641</v>
      </c>
      <c r="I116" s="214"/>
    </row>
    <row r="117" spans="1:9">
      <c r="A117" s="196">
        <v>665</v>
      </c>
      <c r="B117" s="103" t="s">
        <v>1665</v>
      </c>
      <c r="C117" s="103" t="s">
        <v>1521</v>
      </c>
      <c r="D117" s="103">
        <v>196</v>
      </c>
      <c r="E117" s="201">
        <v>2</v>
      </c>
      <c r="F117" s="17" t="s">
        <v>1666</v>
      </c>
      <c r="G117" s="208">
        <v>45819</v>
      </c>
      <c r="H117" s="220" t="s">
        <v>1667</v>
      </c>
      <c r="I117" s="214"/>
    </row>
    <row r="118" spans="1:9">
      <c r="A118" s="196">
        <v>667</v>
      </c>
      <c r="B118" s="103" t="s">
        <v>1668</v>
      </c>
      <c r="C118" s="103" t="s">
        <v>1536</v>
      </c>
      <c r="D118" s="103">
        <v>197</v>
      </c>
      <c r="E118" s="358">
        <v>2</v>
      </c>
      <c r="F118" s="8" t="s">
        <v>1669</v>
      </c>
      <c r="G118" s="198">
        <v>45492</v>
      </c>
      <c r="H118" s="201" t="s">
        <v>1670</v>
      </c>
      <c r="I118" s="200"/>
    </row>
    <row r="119" spans="1:9">
      <c r="A119" s="196">
        <v>671</v>
      </c>
      <c r="B119" s="201" t="s">
        <v>732</v>
      </c>
      <c r="C119" s="201" t="s">
        <v>159</v>
      </c>
      <c r="D119" s="201">
        <v>49</v>
      </c>
      <c r="E119" s="201">
        <v>3</v>
      </c>
      <c r="F119" s="94" t="s">
        <v>1671</v>
      </c>
      <c r="G119" s="237">
        <v>45124</v>
      </c>
      <c r="H119" s="94" t="s">
        <v>1672</v>
      </c>
      <c r="I119" s="214"/>
    </row>
    <row r="120" spans="1:9">
      <c r="A120" s="196">
        <v>672</v>
      </c>
      <c r="B120" s="103" t="s">
        <v>738</v>
      </c>
      <c r="C120" s="103" t="s">
        <v>1521</v>
      </c>
      <c r="D120" s="103">
        <v>198</v>
      </c>
      <c r="E120" s="353">
        <v>1</v>
      </c>
      <c r="F120" s="201" t="s">
        <v>1673</v>
      </c>
      <c r="G120" s="208">
        <v>45343</v>
      </c>
      <c r="H120" s="201">
        <v>66721</v>
      </c>
      <c r="I120" s="214"/>
    </row>
    <row r="121" spans="1:9">
      <c r="A121" s="196">
        <v>674</v>
      </c>
      <c r="B121" s="103" t="s">
        <v>1674</v>
      </c>
      <c r="C121" s="103" t="s">
        <v>1521</v>
      </c>
      <c r="D121" s="103">
        <v>199</v>
      </c>
      <c r="E121" s="201">
        <v>1</v>
      </c>
      <c r="F121" s="201" t="s">
        <v>1675</v>
      </c>
      <c r="G121" s="208">
        <v>45399</v>
      </c>
      <c r="H121" s="201">
        <v>66741</v>
      </c>
      <c r="I121" s="214"/>
    </row>
    <row r="122" spans="1:9">
      <c r="A122" s="196">
        <v>675</v>
      </c>
      <c r="B122" s="103" t="s">
        <v>1676</v>
      </c>
      <c r="C122" s="103" t="s">
        <v>1457</v>
      </c>
      <c r="D122" s="103">
        <v>37</v>
      </c>
      <c r="E122" s="353">
        <v>4</v>
      </c>
      <c r="F122" s="213" t="s">
        <v>1677</v>
      </c>
      <c r="G122" s="198">
        <v>45355</v>
      </c>
      <c r="H122" s="212" t="s">
        <v>1678</v>
      </c>
      <c r="I122" s="214"/>
    </row>
    <row r="123" spans="1:9">
      <c r="A123" s="196">
        <v>676</v>
      </c>
      <c r="B123" s="103" t="s">
        <v>1679</v>
      </c>
      <c r="C123" s="103" t="s">
        <v>1457</v>
      </c>
      <c r="D123" s="103">
        <v>200</v>
      </c>
      <c r="E123" s="201">
        <v>1</v>
      </c>
      <c r="F123" s="17" t="s">
        <v>1680</v>
      </c>
      <c r="G123" s="205">
        <v>45398</v>
      </c>
      <c r="H123" s="201">
        <v>66761</v>
      </c>
      <c r="I123" s="214"/>
    </row>
    <row r="124" spans="1:9">
      <c r="A124" s="196">
        <v>677</v>
      </c>
      <c r="B124" s="103" t="s">
        <v>1681</v>
      </c>
      <c r="C124" s="103" t="s">
        <v>1682</v>
      </c>
      <c r="D124" s="103">
        <v>201</v>
      </c>
      <c r="E124" s="353">
        <v>1</v>
      </c>
      <c r="F124" s="17" t="s">
        <v>1683</v>
      </c>
      <c r="G124" s="206">
        <v>45343</v>
      </c>
      <c r="H124" s="220">
        <v>66771</v>
      </c>
      <c r="I124" s="214"/>
    </row>
    <row r="125" spans="1:9">
      <c r="A125" s="196">
        <v>678</v>
      </c>
      <c r="B125" s="103" t="s">
        <v>1684</v>
      </c>
      <c r="C125" s="103" t="s">
        <v>1576</v>
      </c>
      <c r="D125" s="103">
        <v>202</v>
      </c>
      <c r="E125" s="233">
        <v>1</v>
      </c>
      <c r="F125" s="8" t="s">
        <v>1685</v>
      </c>
      <c r="G125" s="208">
        <v>45468</v>
      </c>
      <c r="H125" s="201">
        <v>66781</v>
      </c>
      <c r="I125" s="214"/>
    </row>
    <row r="126" spans="1:9">
      <c r="A126" s="196">
        <v>679</v>
      </c>
      <c r="B126" s="103" t="s">
        <v>1686</v>
      </c>
      <c r="C126" s="103" t="s">
        <v>1682</v>
      </c>
      <c r="D126" s="103">
        <v>203</v>
      </c>
      <c r="E126" s="353">
        <v>2</v>
      </c>
      <c r="F126" s="10" t="s">
        <v>1687</v>
      </c>
      <c r="G126" s="231">
        <v>45838</v>
      </c>
      <c r="H126" s="197" t="s">
        <v>1688</v>
      </c>
      <c r="I126" s="214"/>
    </row>
    <row r="127" spans="1:9">
      <c r="A127" s="196">
        <v>680</v>
      </c>
      <c r="B127" s="103" t="s">
        <v>1689</v>
      </c>
      <c r="C127" s="103" t="s">
        <v>1576</v>
      </c>
      <c r="D127" s="103">
        <v>204</v>
      </c>
      <c r="E127" s="201">
        <v>3</v>
      </c>
      <c r="F127" s="10" t="s">
        <v>1690</v>
      </c>
      <c r="G127" s="198">
        <v>45470</v>
      </c>
      <c r="H127" s="201" t="s">
        <v>1691</v>
      </c>
      <c r="I127" s="214"/>
    </row>
    <row r="128" spans="1:9">
      <c r="A128" s="196">
        <v>681</v>
      </c>
      <c r="B128" s="103" t="s">
        <v>1692</v>
      </c>
      <c r="C128" s="103" t="s">
        <v>1693</v>
      </c>
      <c r="D128" s="103">
        <v>205</v>
      </c>
      <c r="E128" s="353">
        <v>1</v>
      </c>
      <c r="F128" s="220" t="s">
        <v>1694</v>
      </c>
      <c r="G128" s="198">
        <v>45400</v>
      </c>
      <c r="H128" s="201">
        <v>66811</v>
      </c>
      <c r="I128" s="214"/>
    </row>
    <row r="129" spans="1:9">
      <c r="A129" s="196">
        <v>682</v>
      </c>
      <c r="B129" s="103" t="s">
        <v>1695</v>
      </c>
      <c r="C129" s="103" t="s">
        <v>1521</v>
      </c>
      <c r="D129" s="103">
        <v>206</v>
      </c>
      <c r="E129" s="201">
        <v>1</v>
      </c>
      <c r="F129" s="201" t="s">
        <v>1696</v>
      </c>
      <c r="G129" s="198">
        <v>45399</v>
      </c>
      <c r="H129" s="201">
        <v>66821</v>
      </c>
      <c r="I129" s="214"/>
    </row>
    <row r="130" spans="1:9">
      <c r="A130" s="196">
        <v>684</v>
      </c>
      <c r="B130" s="103" t="s">
        <v>1697</v>
      </c>
      <c r="C130" s="103" t="s">
        <v>1640</v>
      </c>
      <c r="D130" s="103">
        <v>207</v>
      </c>
      <c r="E130" s="353" t="s">
        <v>1698</v>
      </c>
      <c r="F130" s="216" t="s">
        <v>1699</v>
      </c>
      <c r="G130" s="198">
        <v>45834</v>
      </c>
      <c r="H130" s="201" t="s">
        <v>1700</v>
      </c>
      <c r="I130" s="214"/>
    </row>
    <row r="131" spans="1:9">
      <c r="A131" s="196">
        <v>685</v>
      </c>
      <c r="B131" s="103" t="s">
        <v>1701</v>
      </c>
      <c r="C131" s="103" t="s">
        <v>1536</v>
      </c>
      <c r="D131" s="103">
        <v>208</v>
      </c>
      <c r="E131" s="201">
        <v>1</v>
      </c>
      <c r="F131" s="8" t="s">
        <v>1702</v>
      </c>
      <c r="G131" s="198">
        <v>45398</v>
      </c>
      <c r="H131" s="201">
        <v>66851</v>
      </c>
      <c r="I131" s="214"/>
    </row>
    <row r="132" spans="1:9">
      <c r="A132" s="196">
        <v>686</v>
      </c>
      <c r="B132" s="103" t="s">
        <v>1703</v>
      </c>
      <c r="C132" s="103" t="s">
        <v>1457</v>
      </c>
      <c r="D132" s="103">
        <v>209</v>
      </c>
      <c r="E132" s="353">
        <v>1</v>
      </c>
      <c r="F132" s="94" t="s">
        <v>1704</v>
      </c>
      <c r="G132" s="202">
        <v>45377</v>
      </c>
      <c r="H132" s="201">
        <v>66861</v>
      </c>
      <c r="I132" s="214"/>
    </row>
    <row r="133" spans="1:9">
      <c r="A133" s="196">
        <v>687</v>
      </c>
      <c r="B133" s="103" t="s">
        <v>1705</v>
      </c>
      <c r="C133" s="103" t="s">
        <v>1536</v>
      </c>
      <c r="D133" s="103">
        <v>210</v>
      </c>
      <c r="E133" s="201">
        <v>1</v>
      </c>
      <c r="F133" s="8" t="s">
        <v>1706</v>
      </c>
      <c r="G133" s="202">
        <v>45352</v>
      </c>
      <c r="H133" s="201">
        <v>66871</v>
      </c>
      <c r="I133" s="214"/>
    </row>
    <row r="134" spans="1:9">
      <c r="A134" s="196">
        <v>688</v>
      </c>
      <c r="B134" s="103" t="s">
        <v>1707</v>
      </c>
      <c r="C134" s="103" t="s">
        <v>1593</v>
      </c>
      <c r="D134" s="103">
        <v>211</v>
      </c>
      <c r="E134" s="353">
        <v>2</v>
      </c>
      <c r="F134" s="10" t="s">
        <v>1708</v>
      </c>
      <c r="G134" s="202">
        <v>45818</v>
      </c>
      <c r="H134" s="201" t="s">
        <v>1709</v>
      </c>
      <c r="I134" s="203"/>
    </row>
    <row r="135" spans="1:9">
      <c r="A135" s="196">
        <v>689</v>
      </c>
      <c r="B135" s="103" t="s">
        <v>1710</v>
      </c>
      <c r="C135" s="201" t="s">
        <v>58</v>
      </c>
      <c r="D135" s="201">
        <v>46</v>
      </c>
      <c r="E135" s="201">
        <v>4</v>
      </c>
      <c r="F135" s="213" t="s">
        <v>1711</v>
      </c>
      <c r="G135" s="211">
        <v>45043</v>
      </c>
      <c r="H135" s="212" t="s">
        <v>1712</v>
      </c>
      <c r="I135" s="214"/>
    </row>
    <row r="136" spans="1:9">
      <c r="A136" s="196">
        <v>696</v>
      </c>
      <c r="B136" s="103" t="s">
        <v>1713</v>
      </c>
      <c r="C136" s="103" t="s">
        <v>1394</v>
      </c>
      <c r="D136" s="103">
        <v>212</v>
      </c>
      <c r="E136" s="353">
        <v>1</v>
      </c>
      <c r="F136" s="8" t="s">
        <v>1714</v>
      </c>
      <c r="G136" s="208">
        <v>45464</v>
      </c>
      <c r="H136" s="201">
        <v>66961</v>
      </c>
      <c r="I136" s="214"/>
    </row>
    <row r="137" spans="1:9">
      <c r="A137" s="196">
        <v>698</v>
      </c>
      <c r="B137" s="103" t="s">
        <v>1715</v>
      </c>
      <c r="C137" s="201" t="s">
        <v>58</v>
      </c>
      <c r="D137" s="201">
        <v>83</v>
      </c>
      <c r="E137" s="201">
        <v>4</v>
      </c>
      <c r="F137" s="8" t="s">
        <v>1716</v>
      </c>
      <c r="G137" s="208">
        <v>45199</v>
      </c>
      <c r="H137" s="8" t="s">
        <v>1717</v>
      </c>
      <c r="I137" s="214"/>
    </row>
    <row r="138" spans="1:9">
      <c r="A138" s="196">
        <v>699</v>
      </c>
      <c r="B138" s="201" t="s">
        <v>1718</v>
      </c>
      <c r="C138" s="201" t="s">
        <v>50</v>
      </c>
      <c r="D138" s="201">
        <v>34</v>
      </c>
      <c r="E138" s="353">
        <v>4</v>
      </c>
      <c r="F138" s="213" t="s">
        <v>1719</v>
      </c>
      <c r="G138" s="211">
        <v>45043</v>
      </c>
      <c r="H138" s="212" t="s">
        <v>1720</v>
      </c>
      <c r="I138" s="214"/>
    </row>
    <row r="139" spans="1:9">
      <c r="A139" s="196">
        <v>700</v>
      </c>
      <c r="B139" s="201" t="s">
        <v>1291</v>
      </c>
      <c r="C139" s="201" t="s">
        <v>58</v>
      </c>
      <c r="D139" s="201">
        <v>65</v>
      </c>
      <c r="E139" s="201">
        <v>4</v>
      </c>
      <c r="F139" s="213" t="s">
        <v>1721</v>
      </c>
      <c r="G139" s="211">
        <v>45043</v>
      </c>
      <c r="H139" s="212" t="s">
        <v>1722</v>
      </c>
      <c r="I139" s="214"/>
    </row>
    <row r="140" spans="1:9">
      <c r="A140" s="196">
        <v>709</v>
      </c>
      <c r="B140" s="103" t="s">
        <v>1723</v>
      </c>
      <c r="C140" s="103" t="s">
        <v>1498</v>
      </c>
      <c r="D140" s="103">
        <v>213</v>
      </c>
      <c r="E140" s="359">
        <v>1</v>
      </c>
      <c r="F140" s="220" t="s">
        <v>1724</v>
      </c>
      <c r="G140" s="208">
        <v>45455</v>
      </c>
      <c r="H140" s="201">
        <v>67091</v>
      </c>
      <c r="I140" s="214"/>
    </row>
    <row r="141" spans="1:9">
      <c r="A141" s="196">
        <v>711</v>
      </c>
      <c r="B141" s="103" t="s">
        <v>1725</v>
      </c>
      <c r="C141" s="103" t="s">
        <v>1521</v>
      </c>
      <c r="D141" s="103">
        <v>214</v>
      </c>
      <c r="E141" s="201">
        <v>1</v>
      </c>
      <c r="F141" s="220" t="s">
        <v>1726</v>
      </c>
      <c r="G141" s="206">
        <v>45460</v>
      </c>
      <c r="H141" s="220">
        <v>67111</v>
      </c>
      <c r="I141" s="214"/>
    </row>
    <row r="142" spans="1:9">
      <c r="A142" s="196">
        <v>712</v>
      </c>
      <c r="B142" s="103" t="s">
        <v>1727</v>
      </c>
      <c r="C142" s="103" t="s">
        <v>1457</v>
      </c>
      <c r="D142" s="103">
        <v>215</v>
      </c>
      <c r="E142" s="358">
        <v>1</v>
      </c>
      <c r="F142" s="8" t="s">
        <v>1728</v>
      </c>
      <c r="G142" s="208">
        <v>45484</v>
      </c>
      <c r="H142" s="201">
        <v>67121</v>
      </c>
      <c r="I142" s="200"/>
    </row>
    <row r="143" spans="1:9">
      <c r="A143" s="196">
        <v>715</v>
      </c>
      <c r="B143" s="103" t="s">
        <v>1729</v>
      </c>
      <c r="C143" s="103" t="s">
        <v>1394</v>
      </c>
      <c r="D143" s="103">
        <v>216</v>
      </c>
      <c r="E143" s="201">
        <v>1</v>
      </c>
      <c r="F143" s="94" t="s">
        <v>1730</v>
      </c>
      <c r="G143" s="226">
        <v>45352</v>
      </c>
      <c r="H143" s="197">
        <v>67151</v>
      </c>
      <c r="I143" s="214"/>
    </row>
    <row r="144" spans="1:9">
      <c r="A144" s="196">
        <v>717</v>
      </c>
      <c r="B144" s="103" t="s">
        <v>1731</v>
      </c>
      <c r="C144" s="103" t="s">
        <v>1521</v>
      </c>
      <c r="D144" s="103">
        <v>217</v>
      </c>
      <c r="E144" s="353">
        <v>1</v>
      </c>
      <c r="F144" s="201" t="s">
        <v>1732</v>
      </c>
      <c r="G144" s="208">
        <v>45352</v>
      </c>
      <c r="H144" s="201">
        <v>67171</v>
      </c>
      <c r="I144" s="214"/>
    </row>
    <row r="145" spans="1:9">
      <c r="A145" s="196">
        <v>719</v>
      </c>
      <c r="B145" s="103" t="s">
        <v>1733</v>
      </c>
      <c r="C145" s="103" t="s">
        <v>1488</v>
      </c>
      <c r="D145" s="103">
        <v>218</v>
      </c>
      <c r="E145" s="201">
        <v>1</v>
      </c>
      <c r="F145" s="10" t="s">
        <v>1734</v>
      </c>
      <c r="G145" s="198">
        <v>45474</v>
      </c>
      <c r="H145" s="201">
        <v>67191</v>
      </c>
      <c r="I145" s="214"/>
    </row>
    <row r="146" spans="1:9">
      <c r="A146" s="196">
        <v>723</v>
      </c>
      <c r="B146" s="103" t="s">
        <v>1735</v>
      </c>
      <c r="C146" s="103" t="s">
        <v>1521</v>
      </c>
      <c r="D146" s="103">
        <v>220</v>
      </c>
      <c r="E146" s="353">
        <v>1</v>
      </c>
      <c r="F146" s="201" t="s">
        <v>1736</v>
      </c>
      <c r="G146" s="208">
        <v>45370</v>
      </c>
      <c r="H146" s="201">
        <v>67231</v>
      </c>
      <c r="I146" s="214"/>
    </row>
    <row r="147" spans="1:9">
      <c r="A147" s="196">
        <v>725</v>
      </c>
      <c r="B147" s="103" t="s">
        <v>1737</v>
      </c>
      <c r="C147" s="103" t="s">
        <v>1536</v>
      </c>
      <c r="D147" s="103">
        <v>221</v>
      </c>
      <c r="E147" s="201">
        <v>1</v>
      </c>
      <c r="F147" s="10" t="s">
        <v>1738</v>
      </c>
      <c r="G147" s="208">
        <v>45370</v>
      </c>
      <c r="H147" s="201">
        <v>67251</v>
      </c>
      <c r="I147" s="214"/>
    </row>
    <row r="148" spans="1:9">
      <c r="A148" s="196">
        <v>726</v>
      </c>
      <c r="B148" s="103" t="s">
        <v>1739</v>
      </c>
      <c r="C148" s="201" t="s">
        <v>58</v>
      </c>
      <c r="D148" s="8">
        <v>88</v>
      </c>
      <c r="E148" s="353">
        <v>4</v>
      </c>
      <c r="F148" s="213" t="s">
        <v>1740</v>
      </c>
      <c r="G148" s="211">
        <v>45043</v>
      </c>
      <c r="H148" s="212" t="s">
        <v>1741</v>
      </c>
      <c r="I148" s="214"/>
    </row>
    <row r="149" spans="1:9">
      <c r="A149" s="196">
        <v>727</v>
      </c>
      <c r="B149" s="103" t="s">
        <v>1742</v>
      </c>
      <c r="C149" s="103" t="s">
        <v>1556</v>
      </c>
      <c r="D149" s="103">
        <v>222</v>
      </c>
      <c r="E149" s="201">
        <v>1</v>
      </c>
      <c r="F149" s="94" t="s">
        <v>1743</v>
      </c>
      <c r="G149" s="198">
        <v>45491</v>
      </c>
      <c r="H149" s="201">
        <v>67271</v>
      </c>
      <c r="I149" s="214"/>
    </row>
    <row r="150" spans="1:9">
      <c r="A150" s="196">
        <v>729</v>
      </c>
      <c r="B150" s="103" t="s">
        <v>1744</v>
      </c>
      <c r="C150" s="103" t="s">
        <v>1536</v>
      </c>
      <c r="D150" s="103">
        <v>223</v>
      </c>
      <c r="E150" s="353">
        <v>1</v>
      </c>
      <c r="F150" s="8" t="s">
        <v>1745</v>
      </c>
      <c r="G150" s="198">
        <v>45492</v>
      </c>
      <c r="H150" s="201">
        <v>67291</v>
      </c>
      <c r="I150" s="214"/>
    </row>
    <row r="151" spans="1:9">
      <c r="A151" s="196">
        <v>730</v>
      </c>
      <c r="B151" s="103" t="s">
        <v>1746</v>
      </c>
      <c r="C151" s="103" t="s">
        <v>1457</v>
      </c>
      <c r="D151" s="103">
        <v>224</v>
      </c>
      <c r="E151" s="201">
        <v>1</v>
      </c>
      <c r="F151" s="239" t="s">
        <v>1747</v>
      </c>
      <c r="G151" s="202">
        <v>45488</v>
      </c>
      <c r="H151" s="201">
        <v>67301</v>
      </c>
      <c r="I151" s="214"/>
    </row>
    <row r="152" spans="1:9">
      <c r="A152" s="196">
        <v>731</v>
      </c>
      <c r="B152" s="201" t="s">
        <v>1748</v>
      </c>
      <c r="C152" s="201" t="s">
        <v>58</v>
      </c>
      <c r="D152" s="103">
        <v>45</v>
      </c>
      <c r="E152" s="353">
        <v>4</v>
      </c>
      <c r="F152" s="213" t="s">
        <v>1749</v>
      </c>
      <c r="G152" s="211">
        <v>45043</v>
      </c>
      <c r="H152" s="212" t="s">
        <v>1750</v>
      </c>
      <c r="I152" s="214"/>
    </row>
    <row r="153" spans="1:9">
      <c r="A153" s="196">
        <v>732</v>
      </c>
      <c r="B153" s="103" t="s">
        <v>1751</v>
      </c>
      <c r="C153" s="103" t="s">
        <v>1405</v>
      </c>
      <c r="D153" s="207">
        <v>225</v>
      </c>
      <c r="E153" s="201">
        <v>2</v>
      </c>
      <c r="F153" s="228" t="s">
        <v>1752</v>
      </c>
      <c r="G153" s="202">
        <v>45352</v>
      </c>
      <c r="H153" s="201" t="s">
        <v>1753</v>
      </c>
      <c r="I153" s="214"/>
    </row>
    <row r="154" spans="1:9">
      <c r="A154" s="196">
        <v>733</v>
      </c>
      <c r="B154" s="103" t="s">
        <v>1754</v>
      </c>
      <c r="C154" s="103" t="s">
        <v>1536</v>
      </c>
      <c r="D154" s="103">
        <v>226</v>
      </c>
      <c r="E154" s="353">
        <v>1</v>
      </c>
      <c r="F154" s="17" t="s">
        <v>1755</v>
      </c>
      <c r="G154" s="208">
        <v>45370</v>
      </c>
      <c r="H154" s="201">
        <v>67331</v>
      </c>
      <c r="I154" s="214"/>
    </row>
    <row r="155" spans="1:9">
      <c r="A155" s="196">
        <v>734</v>
      </c>
      <c r="B155" s="201" t="s">
        <v>947</v>
      </c>
      <c r="C155" s="201" t="s">
        <v>58</v>
      </c>
      <c r="D155" s="201">
        <v>64</v>
      </c>
      <c r="E155" s="201">
        <v>4</v>
      </c>
      <c r="F155" s="213" t="s">
        <v>1756</v>
      </c>
      <c r="G155" s="211">
        <v>45043</v>
      </c>
      <c r="H155" s="212" t="s">
        <v>1757</v>
      </c>
      <c r="I155" s="214"/>
    </row>
    <row r="156" spans="1:9">
      <c r="A156" s="196">
        <v>737</v>
      </c>
      <c r="B156" s="103" t="s">
        <v>1758</v>
      </c>
      <c r="C156" s="103" t="s">
        <v>1521</v>
      </c>
      <c r="D156" s="103">
        <v>227</v>
      </c>
      <c r="E156" s="353">
        <v>1</v>
      </c>
      <c r="F156" s="201" t="s">
        <v>1759</v>
      </c>
      <c r="G156" s="202">
        <v>45460</v>
      </c>
      <c r="H156" s="201">
        <v>67371</v>
      </c>
      <c r="I156" s="214"/>
    </row>
    <row r="157" spans="1:9">
      <c r="A157" s="217">
        <v>741</v>
      </c>
      <c r="B157" s="218" t="s">
        <v>1760</v>
      </c>
      <c r="C157" s="218" t="s">
        <v>1492</v>
      </c>
      <c r="D157" s="218">
        <v>228</v>
      </c>
      <c r="E157" s="3">
        <v>1</v>
      </c>
      <c r="F157" s="174" t="s">
        <v>1761</v>
      </c>
      <c r="G157" s="240">
        <v>45356</v>
      </c>
      <c r="H157" s="3">
        <v>67411</v>
      </c>
      <c r="I157" s="214"/>
    </row>
    <row r="158" spans="1:9">
      <c r="A158" s="196">
        <v>742</v>
      </c>
      <c r="B158" s="103" t="s">
        <v>1762</v>
      </c>
      <c r="C158" s="103" t="s">
        <v>1763</v>
      </c>
      <c r="D158" s="103">
        <v>229</v>
      </c>
      <c r="E158" s="353">
        <v>1</v>
      </c>
      <c r="F158" s="8" t="s">
        <v>1764</v>
      </c>
      <c r="G158" s="202">
        <v>45460</v>
      </c>
      <c r="H158" s="201">
        <v>67421</v>
      </c>
      <c r="I158" s="214"/>
    </row>
    <row r="159" spans="1:9">
      <c r="A159" s="196">
        <v>744</v>
      </c>
      <c r="B159" s="201" t="s">
        <v>1291</v>
      </c>
      <c r="C159" s="201" t="s">
        <v>58</v>
      </c>
      <c r="D159" s="68">
        <v>96</v>
      </c>
      <c r="E159" s="201">
        <v>4</v>
      </c>
      <c r="F159" s="213" t="s">
        <v>1765</v>
      </c>
      <c r="G159" s="211">
        <v>45058</v>
      </c>
      <c r="H159" s="212" t="s">
        <v>1766</v>
      </c>
      <c r="I159" s="214"/>
    </row>
    <row r="160" spans="1:9">
      <c r="A160" s="196">
        <v>745</v>
      </c>
      <c r="B160" s="103" t="s">
        <v>1767</v>
      </c>
      <c r="C160" s="103" t="s">
        <v>1517</v>
      </c>
      <c r="D160" s="103">
        <v>230</v>
      </c>
      <c r="E160" s="353">
        <v>1</v>
      </c>
      <c r="F160" s="215" t="s">
        <v>1768</v>
      </c>
      <c r="G160" s="208">
        <v>45468</v>
      </c>
      <c r="H160" s="201">
        <v>67451</v>
      </c>
      <c r="I160" s="214"/>
    </row>
    <row r="161" spans="1:9">
      <c r="A161" s="196">
        <v>747</v>
      </c>
      <c r="B161" s="103" t="s">
        <v>1769</v>
      </c>
      <c r="C161" s="103" t="s">
        <v>1521</v>
      </c>
      <c r="D161" s="103">
        <v>231</v>
      </c>
      <c r="E161" s="201">
        <v>1</v>
      </c>
      <c r="F161" s="201" t="s">
        <v>1770</v>
      </c>
      <c r="G161" s="208">
        <v>45464</v>
      </c>
      <c r="H161" s="201">
        <v>67471</v>
      </c>
      <c r="I161" s="214"/>
    </row>
    <row r="162" spans="1:9">
      <c r="A162" s="196">
        <v>751</v>
      </c>
      <c r="B162" s="103" t="s">
        <v>1771</v>
      </c>
      <c r="C162" s="103" t="s">
        <v>1640</v>
      </c>
      <c r="D162" s="103">
        <v>232</v>
      </c>
      <c r="E162" s="353">
        <v>1</v>
      </c>
      <c r="F162" s="197" t="s">
        <v>1772</v>
      </c>
      <c r="G162" s="208">
        <v>45464</v>
      </c>
      <c r="H162" s="201">
        <v>67511</v>
      </c>
      <c r="I162" s="214"/>
    </row>
    <row r="163" spans="1:9">
      <c r="A163" s="196">
        <v>752</v>
      </c>
      <c r="B163" s="103" t="s">
        <v>1773</v>
      </c>
      <c r="C163" s="103" t="s">
        <v>1640</v>
      </c>
      <c r="D163" s="103">
        <v>233</v>
      </c>
      <c r="E163" s="201">
        <v>1</v>
      </c>
      <c r="F163" s="201" t="s">
        <v>1774</v>
      </c>
      <c r="G163" s="208">
        <v>45464</v>
      </c>
      <c r="H163" s="201">
        <v>67521</v>
      </c>
      <c r="I163" s="214"/>
    </row>
    <row r="164" spans="1:9">
      <c r="A164" s="196">
        <v>754</v>
      </c>
      <c r="B164" s="103" t="s">
        <v>1775</v>
      </c>
      <c r="C164" s="103" t="s">
        <v>1763</v>
      </c>
      <c r="D164" s="103">
        <v>234</v>
      </c>
      <c r="E164" s="353">
        <v>1</v>
      </c>
      <c r="F164" s="8" t="s">
        <v>1776</v>
      </c>
      <c r="G164" s="241">
        <v>45460</v>
      </c>
      <c r="H164" s="201">
        <v>67541</v>
      </c>
      <c r="I164" s="214"/>
    </row>
    <row r="165" spans="1:9">
      <c r="A165" s="196">
        <v>756</v>
      </c>
      <c r="B165" s="103" t="s">
        <v>1777</v>
      </c>
      <c r="C165" s="103" t="s">
        <v>1517</v>
      </c>
      <c r="D165" s="103">
        <v>235</v>
      </c>
      <c r="E165" s="201">
        <v>2</v>
      </c>
      <c r="F165" s="227" t="s">
        <v>1778</v>
      </c>
      <c r="G165" s="205">
        <v>45825</v>
      </c>
      <c r="H165" s="201" t="s">
        <v>1779</v>
      </c>
      <c r="I165" s="203"/>
    </row>
    <row r="166" spans="1:9">
      <c r="A166" s="196">
        <v>764</v>
      </c>
      <c r="B166" s="103" t="s">
        <v>1780</v>
      </c>
      <c r="C166" s="103" t="s">
        <v>1576</v>
      </c>
      <c r="D166" s="103">
        <v>236</v>
      </c>
      <c r="E166" s="353">
        <v>1</v>
      </c>
      <c r="F166" s="201" t="s">
        <v>1781</v>
      </c>
      <c r="G166" s="202">
        <v>45460</v>
      </c>
      <c r="H166" s="201">
        <v>67641</v>
      </c>
      <c r="I166" s="214"/>
    </row>
    <row r="167" spans="1:9">
      <c r="A167" s="217">
        <v>765</v>
      </c>
      <c r="B167" s="218" t="s">
        <v>1782</v>
      </c>
      <c r="C167" s="218" t="s">
        <v>1492</v>
      </c>
      <c r="D167" s="218">
        <v>237</v>
      </c>
      <c r="E167" s="3">
        <v>1</v>
      </c>
      <c r="F167" s="154" t="s">
        <v>1783</v>
      </c>
      <c r="G167" s="242">
        <v>45819</v>
      </c>
      <c r="H167" s="3">
        <v>67651</v>
      </c>
      <c r="I167" s="214"/>
    </row>
    <row r="168" spans="1:9">
      <c r="A168" s="196">
        <v>768</v>
      </c>
      <c r="B168" s="201" t="s">
        <v>1784</v>
      </c>
      <c r="C168" s="201" t="s">
        <v>58</v>
      </c>
      <c r="D168" s="201">
        <v>95</v>
      </c>
      <c r="E168" s="353">
        <v>4</v>
      </c>
      <c r="F168" s="213" t="s">
        <v>1785</v>
      </c>
      <c r="G168" s="211">
        <v>45043</v>
      </c>
      <c r="H168" s="212" t="s">
        <v>1786</v>
      </c>
      <c r="I168" s="214"/>
    </row>
    <row r="169" spans="1:9">
      <c r="A169" s="196">
        <v>770</v>
      </c>
      <c r="B169" s="103" t="s">
        <v>1787</v>
      </c>
      <c r="C169" s="103" t="s">
        <v>1521</v>
      </c>
      <c r="D169" s="103">
        <v>238</v>
      </c>
      <c r="E169" s="201">
        <v>1</v>
      </c>
      <c r="F169" s="201" t="s">
        <v>1788</v>
      </c>
      <c r="G169" s="208">
        <v>45476</v>
      </c>
      <c r="H169" s="201">
        <v>67701</v>
      </c>
      <c r="I169" s="214"/>
    </row>
    <row r="170" spans="1:9" ht="15" customHeight="1">
      <c r="A170" s="196">
        <v>771</v>
      </c>
      <c r="B170" s="103" t="s">
        <v>1789</v>
      </c>
      <c r="C170" s="103" t="s">
        <v>1536</v>
      </c>
      <c r="D170" s="103">
        <v>103</v>
      </c>
      <c r="E170" s="353">
        <v>3</v>
      </c>
      <c r="F170" s="8" t="s">
        <v>1790</v>
      </c>
      <c r="G170" s="198">
        <v>45455</v>
      </c>
      <c r="H170" s="8" t="s">
        <v>1791</v>
      </c>
      <c r="I170" s="214"/>
    </row>
    <row r="171" spans="1:9">
      <c r="A171" s="196">
        <v>774</v>
      </c>
      <c r="B171" s="103" t="s">
        <v>1792</v>
      </c>
      <c r="C171" s="103" t="s">
        <v>1556</v>
      </c>
      <c r="D171" s="103">
        <v>239</v>
      </c>
      <c r="E171" s="238">
        <v>1</v>
      </c>
      <c r="F171" s="10" t="s">
        <v>1793</v>
      </c>
      <c r="G171" s="202">
        <v>45456</v>
      </c>
      <c r="H171" s="201">
        <v>67741</v>
      </c>
      <c r="I171" s="214"/>
    </row>
    <row r="172" spans="1:9">
      <c r="A172" s="196">
        <v>778</v>
      </c>
      <c r="B172" s="103" t="s">
        <v>1794</v>
      </c>
      <c r="C172" s="103" t="s">
        <v>1553</v>
      </c>
      <c r="D172" s="103">
        <v>240</v>
      </c>
      <c r="E172" s="353">
        <v>1</v>
      </c>
      <c r="F172" s="17" t="s">
        <v>1795</v>
      </c>
      <c r="G172" s="198">
        <v>45462</v>
      </c>
      <c r="H172" s="201">
        <v>67781</v>
      </c>
      <c r="I172" s="214"/>
    </row>
    <row r="173" spans="1:9">
      <c r="A173" s="196">
        <v>780</v>
      </c>
      <c r="B173" s="103" t="s">
        <v>1796</v>
      </c>
      <c r="C173" s="201" t="s">
        <v>58</v>
      </c>
      <c r="D173" s="201">
        <v>90</v>
      </c>
      <c r="E173" s="201">
        <v>4</v>
      </c>
      <c r="F173" s="213" t="s">
        <v>1797</v>
      </c>
      <c r="G173" s="208">
        <v>45043</v>
      </c>
      <c r="H173" s="212" t="s">
        <v>1798</v>
      </c>
      <c r="I173" s="214"/>
    </row>
    <row r="174" spans="1:9">
      <c r="A174" s="196">
        <v>783</v>
      </c>
      <c r="B174" s="103" t="s">
        <v>1799</v>
      </c>
      <c r="C174" s="103" t="s">
        <v>1682</v>
      </c>
      <c r="D174" s="103">
        <v>241</v>
      </c>
      <c r="E174" s="359">
        <v>1</v>
      </c>
      <c r="F174" s="17" t="s">
        <v>1800</v>
      </c>
      <c r="G174" s="202">
        <v>45456</v>
      </c>
      <c r="H174" s="201">
        <v>67831</v>
      </c>
      <c r="I174" s="214"/>
    </row>
    <row r="175" spans="1:9">
      <c r="A175" s="196">
        <v>785</v>
      </c>
      <c r="B175" s="103" t="s">
        <v>1801</v>
      </c>
      <c r="C175" s="103" t="s">
        <v>1521</v>
      </c>
      <c r="D175" s="103">
        <v>242</v>
      </c>
      <c r="E175" s="238">
        <v>1</v>
      </c>
      <c r="F175" s="201" t="s">
        <v>1802</v>
      </c>
      <c r="G175" s="202">
        <v>45456</v>
      </c>
      <c r="H175" s="201">
        <v>67851</v>
      </c>
      <c r="I175" s="214"/>
    </row>
    <row r="176" spans="1:9">
      <c r="A176" s="196">
        <v>788</v>
      </c>
      <c r="B176" s="103" t="s">
        <v>1803</v>
      </c>
      <c r="C176" s="103" t="s">
        <v>1521</v>
      </c>
      <c r="D176" s="103">
        <v>244</v>
      </c>
      <c r="E176" s="353">
        <v>1</v>
      </c>
      <c r="F176" s="201" t="s">
        <v>1804</v>
      </c>
      <c r="G176" s="198">
        <v>45462</v>
      </c>
      <c r="H176" s="201">
        <v>67881</v>
      </c>
      <c r="I176" s="214"/>
    </row>
    <row r="177" spans="1:9">
      <c r="A177" s="196">
        <v>794</v>
      </c>
      <c r="B177" s="103" t="s">
        <v>1805</v>
      </c>
      <c r="C177" s="103" t="s">
        <v>1521</v>
      </c>
      <c r="D177" s="103">
        <v>245</v>
      </c>
      <c r="E177" s="201">
        <v>1</v>
      </c>
      <c r="F177" s="201" t="s">
        <v>1806</v>
      </c>
      <c r="G177" s="202">
        <v>45489</v>
      </c>
      <c r="H177" s="201">
        <v>67941</v>
      </c>
      <c r="I177" s="214"/>
    </row>
    <row r="178" spans="1:9">
      <c r="A178" s="196">
        <v>795</v>
      </c>
      <c r="B178" s="103" t="s">
        <v>1807</v>
      </c>
      <c r="C178" s="103" t="s">
        <v>1808</v>
      </c>
      <c r="D178" s="103">
        <v>246</v>
      </c>
      <c r="E178" s="353">
        <v>1</v>
      </c>
      <c r="F178" s="10" t="s">
        <v>1809</v>
      </c>
      <c r="G178" s="202">
        <v>45475</v>
      </c>
      <c r="H178" s="201">
        <v>67951</v>
      </c>
      <c r="I178" s="214"/>
    </row>
    <row r="179" spans="1:9">
      <c r="A179" s="196">
        <v>796</v>
      </c>
      <c r="B179" s="103" t="s">
        <v>1810</v>
      </c>
      <c r="C179" s="103" t="s">
        <v>204</v>
      </c>
      <c r="D179" s="103">
        <v>247</v>
      </c>
      <c r="E179" s="201">
        <v>1</v>
      </c>
      <c r="F179" s="201" t="s">
        <v>1811</v>
      </c>
      <c r="G179" s="202">
        <v>45352</v>
      </c>
      <c r="H179" s="201">
        <v>67961</v>
      </c>
      <c r="I179" s="214"/>
    </row>
    <row r="180" spans="1:9">
      <c r="A180" s="196">
        <v>799</v>
      </c>
      <c r="B180" s="103" t="s">
        <v>1812</v>
      </c>
      <c r="C180" s="103" t="s">
        <v>1457</v>
      </c>
      <c r="D180" s="103">
        <v>248</v>
      </c>
      <c r="E180" s="359">
        <v>1</v>
      </c>
      <c r="F180" s="17" t="s">
        <v>1813</v>
      </c>
      <c r="G180" s="202">
        <v>45456</v>
      </c>
      <c r="H180" s="201">
        <v>67991</v>
      </c>
      <c r="I180" s="214"/>
    </row>
    <row r="181" spans="1:9">
      <c r="A181" s="196">
        <v>844</v>
      </c>
      <c r="B181" s="103" t="s">
        <v>1814</v>
      </c>
      <c r="C181" s="103" t="s">
        <v>1536</v>
      </c>
      <c r="D181" s="103">
        <v>249</v>
      </c>
      <c r="E181" s="201">
        <v>1</v>
      </c>
      <c r="F181" s="8" t="s">
        <v>1815</v>
      </c>
      <c r="G181" s="202">
        <v>45464</v>
      </c>
      <c r="H181" s="201">
        <v>68441</v>
      </c>
      <c r="I181" s="214"/>
    </row>
    <row r="182" spans="1:9">
      <c r="A182" s="196">
        <v>845</v>
      </c>
      <c r="B182" s="103" t="s">
        <v>1816</v>
      </c>
      <c r="C182" s="201" t="s">
        <v>58</v>
      </c>
      <c r="D182" s="201">
        <v>91</v>
      </c>
      <c r="E182" s="353">
        <v>4</v>
      </c>
      <c r="F182" s="213" t="s">
        <v>1817</v>
      </c>
      <c r="G182" s="208">
        <v>45043</v>
      </c>
      <c r="H182" s="212" t="s">
        <v>1818</v>
      </c>
      <c r="I182" s="214"/>
    </row>
    <row r="183" spans="1:9">
      <c r="A183" s="196">
        <v>847</v>
      </c>
      <c r="B183" s="103" t="s">
        <v>1819</v>
      </c>
      <c r="C183" s="103" t="s">
        <v>1498</v>
      </c>
      <c r="D183" s="103">
        <v>250</v>
      </c>
      <c r="E183" s="238">
        <v>1</v>
      </c>
      <c r="F183" s="216" t="s">
        <v>1820</v>
      </c>
      <c r="G183" s="202">
        <v>45455</v>
      </c>
      <c r="H183" s="201">
        <v>68471</v>
      </c>
      <c r="I183" s="214"/>
    </row>
    <row r="184" spans="1:9">
      <c r="A184" s="196">
        <v>848</v>
      </c>
      <c r="B184" s="103" t="s">
        <v>1821</v>
      </c>
      <c r="C184" s="201" t="s">
        <v>58</v>
      </c>
      <c r="D184" s="201">
        <v>92</v>
      </c>
      <c r="E184" s="353">
        <v>4</v>
      </c>
      <c r="F184" s="213" t="s">
        <v>1822</v>
      </c>
      <c r="G184" s="208">
        <v>45043</v>
      </c>
      <c r="H184" s="212" t="s">
        <v>1823</v>
      </c>
      <c r="I184" s="214"/>
    </row>
    <row r="185" spans="1:9">
      <c r="A185" s="196">
        <v>849</v>
      </c>
      <c r="B185" s="103" t="s">
        <v>1824</v>
      </c>
      <c r="C185" s="103" t="s">
        <v>1521</v>
      </c>
      <c r="D185" s="103">
        <v>251</v>
      </c>
      <c r="E185" s="201">
        <v>1</v>
      </c>
      <c r="F185" s="201" t="s">
        <v>1825</v>
      </c>
      <c r="G185" s="202">
        <v>45366</v>
      </c>
      <c r="H185" s="201">
        <v>68491</v>
      </c>
      <c r="I185" s="214"/>
    </row>
    <row r="186" spans="1:9">
      <c r="A186" s="196">
        <v>851</v>
      </c>
      <c r="B186" s="103" t="s">
        <v>1826</v>
      </c>
      <c r="C186" s="201" t="s">
        <v>58</v>
      </c>
      <c r="D186" s="201">
        <v>56</v>
      </c>
      <c r="E186" s="353">
        <v>4</v>
      </c>
      <c r="F186" s="213" t="s">
        <v>1827</v>
      </c>
      <c r="G186" s="208">
        <v>45043</v>
      </c>
      <c r="H186" s="212" t="s">
        <v>1828</v>
      </c>
      <c r="I186" s="214"/>
    </row>
    <row r="187" spans="1:9">
      <c r="A187" s="196">
        <v>852</v>
      </c>
      <c r="B187" s="103" t="s">
        <v>1829</v>
      </c>
      <c r="C187" s="201" t="s">
        <v>58</v>
      </c>
      <c r="D187" s="201">
        <v>62</v>
      </c>
      <c r="E187" s="201">
        <v>4</v>
      </c>
      <c r="F187" s="213" t="s">
        <v>1830</v>
      </c>
      <c r="G187" s="208">
        <v>45063</v>
      </c>
      <c r="H187" s="212" t="s">
        <v>1831</v>
      </c>
      <c r="I187" s="214"/>
    </row>
    <row r="188" spans="1:9">
      <c r="A188" s="196">
        <v>853</v>
      </c>
      <c r="B188" s="103" t="s">
        <v>1832</v>
      </c>
      <c r="C188" s="103" t="s">
        <v>1521</v>
      </c>
      <c r="D188" s="103">
        <v>252</v>
      </c>
      <c r="E188" s="353">
        <v>2</v>
      </c>
      <c r="F188" s="201" t="s">
        <v>1833</v>
      </c>
      <c r="G188" s="208">
        <v>45819</v>
      </c>
      <c r="H188" s="201" t="s">
        <v>1834</v>
      </c>
      <c r="I188" s="214"/>
    </row>
    <row r="189" spans="1:9">
      <c r="A189" s="196">
        <v>857</v>
      </c>
      <c r="B189" s="103" t="s">
        <v>1835</v>
      </c>
      <c r="C189" s="103" t="s">
        <v>328</v>
      </c>
      <c r="D189" s="103">
        <v>104</v>
      </c>
      <c r="E189" s="201">
        <v>2</v>
      </c>
      <c r="F189" s="201" t="s">
        <v>1836</v>
      </c>
      <c r="G189" s="202">
        <v>45348</v>
      </c>
      <c r="H189" s="201" t="s">
        <v>1837</v>
      </c>
      <c r="I189" s="214"/>
    </row>
    <row r="190" spans="1:9">
      <c r="A190" s="196">
        <v>858</v>
      </c>
      <c r="B190" s="103" t="s">
        <v>1838</v>
      </c>
      <c r="C190" s="201" t="s">
        <v>58</v>
      </c>
      <c r="D190" s="201">
        <v>71</v>
      </c>
      <c r="E190" s="353">
        <v>4</v>
      </c>
      <c r="F190" s="213" t="s">
        <v>1839</v>
      </c>
      <c r="G190" s="208">
        <v>45043</v>
      </c>
      <c r="H190" s="212" t="s">
        <v>1840</v>
      </c>
      <c r="I190" s="214"/>
    </row>
    <row r="191" spans="1:9">
      <c r="A191" s="196">
        <v>859</v>
      </c>
      <c r="B191" s="103" t="s">
        <v>1841</v>
      </c>
      <c r="C191" s="201" t="s">
        <v>58</v>
      </c>
      <c r="D191" s="201">
        <v>93</v>
      </c>
      <c r="E191" s="201">
        <v>3</v>
      </c>
      <c r="F191" s="213" t="s">
        <v>1842</v>
      </c>
      <c r="G191" s="208">
        <v>45061</v>
      </c>
      <c r="H191" s="212" t="s">
        <v>1843</v>
      </c>
      <c r="I191" s="214"/>
    </row>
    <row r="192" spans="1:9">
      <c r="A192" s="196">
        <v>864</v>
      </c>
      <c r="B192" s="103" t="s">
        <v>1844</v>
      </c>
      <c r="C192" s="103" t="s">
        <v>1517</v>
      </c>
      <c r="D192" s="103">
        <v>253</v>
      </c>
      <c r="E192" s="353">
        <v>1</v>
      </c>
      <c r="F192" s="215" t="s">
        <v>1845</v>
      </c>
      <c r="G192" s="202">
        <v>45475</v>
      </c>
      <c r="H192" s="201">
        <v>68641</v>
      </c>
      <c r="I192" s="214"/>
    </row>
    <row r="193" spans="1:9">
      <c r="A193" s="196">
        <v>867</v>
      </c>
      <c r="B193" s="103" t="s">
        <v>1846</v>
      </c>
      <c r="C193" s="103" t="s">
        <v>1536</v>
      </c>
      <c r="D193" s="103">
        <v>254</v>
      </c>
      <c r="E193" s="243">
        <v>1</v>
      </c>
      <c r="F193" s="8" t="s">
        <v>1847</v>
      </c>
      <c r="G193" s="202">
        <v>45457</v>
      </c>
      <c r="H193" s="201">
        <v>68671</v>
      </c>
      <c r="I193" s="214"/>
    </row>
    <row r="194" spans="1:9">
      <c r="A194" s="196">
        <v>868</v>
      </c>
      <c r="B194" s="103" t="s">
        <v>1848</v>
      </c>
      <c r="C194" s="201" t="s">
        <v>58</v>
      </c>
      <c r="D194" s="201">
        <v>84</v>
      </c>
      <c r="E194" s="353">
        <v>3</v>
      </c>
      <c r="F194" s="213" t="s">
        <v>1849</v>
      </c>
      <c r="G194" s="208">
        <v>45043</v>
      </c>
      <c r="H194" s="212" t="s">
        <v>1850</v>
      </c>
      <c r="I194" s="214"/>
    </row>
    <row r="195" spans="1:9">
      <c r="A195" s="196">
        <v>876</v>
      </c>
      <c r="B195" s="103" t="s">
        <v>1851</v>
      </c>
      <c r="C195" s="103" t="s">
        <v>1852</v>
      </c>
      <c r="D195" s="103">
        <v>255</v>
      </c>
      <c r="E195" s="243">
        <v>1</v>
      </c>
      <c r="F195" s="8" t="s">
        <v>1853</v>
      </c>
      <c r="G195" s="208">
        <v>45455</v>
      </c>
      <c r="H195" s="201">
        <v>68761</v>
      </c>
      <c r="I195" s="214"/>
    </row>
    <row r="196" spans="1:9">
      <c r="A196" s="196">
        <v>877</v>
      </c>
      <c r="B196" s="103" t="s">
        <v>1854</v>
      </c>
      <c r="C196" s="103" t="s">
        <v>1457</v>
      </c>
      <c r="D196" s="103">
        <v>256</v>
      </c>
      <c r="E196" s="353">
        <v>1</v>
      </c>
      <c r="F196" s="10" t="s">
        <v>1855</v>
      </c>
      <c r="G196" s="208">
        <v>45377</v>
      </c>
      <c r="H196" s="201">
        <v>68771</v>
      </c>
      <c r="I196" s="214"/>
    </row>
    <row r="197" spans="1:9">
      <c r="A197" s="196">
        <v>879</v>
      </c>
      <c r="B197" s="103" t="s">
        <v>1856</v>
      </c>
      <c r="C197" s="103" t="s">
        <v>1457</v>
      </c>
      <c r="D197" s="103">
        <v>257</v>
      </c>
      <c r="E197" s="201">
        <v>1</v>
      </c>
      <c r="F197" s="17" t="s">
        <v>1857</v>
      </c>
      <c r="G197" s="202">
        <v>45376</v>
      </c>
      <c r="H197" s="201">
        <v>68791</v>
      </c>
      <c r="I197" s="214"/>
    </row>
    <row r="198" spans="1:9">
      <c r="A198" s="196">
        <v>880</v>
      </c>
      <c r="B198" s="103" t="s">
        <v>1858</v>
      </c>
      <c r="C198" s="103" t="s">
        <v>1536</v>
      </c>
      <c r="D198" s="103">
        <v>258</v>
      </c>
      <c r="E198" s="359">
        <v>1</v>
      </c>
      <c r="F198" s="8" t="s">
        <v>1859</v>
      </c>
      <c r="G198" s="202">
        <v>45454</v>
      </c>
      <c r="H198" s="201">
        <v>68801</v>
      </c>
      <c r="I198" s="214"/>
    </row>
    <row r="199" spans="1:9">
      <c r="A199" s="196">
        <v>884</v>
      </c>
      <c r="B199" s="103" t="s">
        <v>1860</v>
      </c>
      <c r="C199" s="103" t="s">
        <v>1536</v>
      </c>
      <c r="D199" s="103">
        <v>259</v>
      </c>
      <c r="E199" s="238">
        <v>1</v>
      </c>
      <c r="F199" s="201" t="s">
        <v>1861</v>
      </c>
      <c r="G199" s="208">
        <v>45455</v>
      </c>
      <c r="H199" s="201">
        <v>68841</v>
      </c>
      <c r="I199" s="214"/>
    </row>
    <row r="200" spans="1:9">
      <c r="A200" s="196">
        <v>885</v>
      </c>
      <c r="B200" s="103" t="s">
        <v>1862</v>
      </c>
      <c r="C200" s="103" t="s">
        <v>1405</v>
      </c>
      <c r="D200" s="103">
        <v>260</v>
      </c>
      <c r="E200" s="359">
        <v>1</v>
      </c>
      <c r="F200" s="94" t="s">
        <v>1863</v>
      </c>
      <c r="G200" s="202">
        <v>45454</v>
      </c>
      <c r="H200" s="201">
        <v>68851</v>
      </c>
      <c r="I200" s="214"/>
    </row>
    <row r="201" spans="1:9">
      <c r="A201" s="196">
        <v>888</v>
      </c>
      <c r="B201" s="103" t="s">
        <v>1864</v>
      </c>
      <c r="C201" s="103" t="s">
        <v>1457</v>
      </c>
      <c r="D201" s="103">
        <v>262</v>
      </c>
      <c r="E201" s="201">
        <v>1</v>
      </c>
      <c r="F201" s="10" t="s">
        <v>1865</v>
      </c>
      <c r="G201" s="202">
        <v>45351</v>
      </c>
      <c r="H201" s="201">
        <v>68881</v>
      </c>
      <c r="I201" s="214"/>
    </row>
    <row r="202" spans="1:9">
      <c r="A202" s="196">
        <v>889</v>
      </c>
      <c r="B202" s="103" t="s">
        <v>1866</v>
      </c>
      <c r="C202" s="201" t="s">
        <v>58</v>
      </c>
      <c r="D202" s="201">
        <v>48</v>
      </c>
      <c r="E202" s="353">
        <v>4</v>
      </c>
      <c r="F202" s="244" t="s">
        <v>1867</v>
      </c>
      <c r="G202" s="208">
        <v>45043</v>
      </c>
      <c r="H202" s="245" t="s">
        <v>1868</v>
      </c>
      <c r="I202" s="214"/>
    </row>
    <row r="203" spans="1:9">
      <c r="A203" s="196">
        <v>890</v>
      </c>
      <c r="B203" s="103" t="s">
        <v>1869</v>
      </c>
      <c r="C203" s="103" t="s">
        <v>1457</v>
      </c>
      <c r="D203" s="103">
        <v>263</v>
      </c>
      <c r="E203" s="201">
        <v>1</v>
      </c>
      <c r="F203" s="8" t="s">
        <v>1870</v>
      </c>
      <c r="G203" s="202">
        <v>45350</v>
      </c>
      <c r="H203" s="201">
        <v>68901</v>
      </c>
      <c r="I203" s="214"/>
    </row>
    <row r="204" spans="1:9">
      <c r="A204" s="196">
        <v>891</v>
      </c>
      <c r="B204" s="103" t="s">
        <v>1871</v>
      </c>
      <c r="C204" s="103" t="s">
        <v>1454</v>
      </c>
      <c r="D204" s="103">
        <v>264</v>
      </c>
      <c r="E204" s="353">
        <v>1</v>
      </c>
      <c r="F204" s="8" t="s">
        <v>1872</v>
      </c>
      <c r="G204" s="202">
        <v>45848</v>
      </c>
      <c r="H204" s="201" t="s">
        <v>1873</v>
      </c>
      <c r="I204" s="214"/>
    </row>
    <row r="205" spans="1:9">
      <c r="A205" s="196">
        <v>893</v>
      </c>
      <c r="B205" s="103" t="s">
        <v>1874</v>
      </c>
      <c r="C205" s="103" t="s">
        <v>1556</v>
      </c>
      <c r="D205" s="103">
        <v>265</v>
      </c>
      <c r="E205" s="201">
        <v>1</v>
      </c>
      <c r="F205" s="8" t="s">
        <v>1875</v>
      </c>
      <c r="G205" s="202">
        <v>45350</v>
      </c>
      <c r="H205" s="201">
        <v>68931</v>
      </c>
      <c r="I205" s="214"/>
    </row>
    <row r="206" spans="1:9">
      <c r="A206" s="196">
        <v>895</v>
      </c>
      <c r="B206" s="103" t="s">
        <v>1876</v>
      </c>
      <c r="C206" s="103" t="s">
        <v>1556</v>
      </c>
      <c r="D206" s="103">
        <v>266</v>
      </c>
      <c r="E206" s="353">
        <v>1</v>
      </c>
      <c r="F206" s="17" t="s">
        <v>1877</v>
      </c>
      <c r="G206" s="202">
        <v>45470</v>
      </c>
      <c r="H206" s="201">
        <v>68951</v>
      </c>
      <c r="I206" s="214"/>
    </row>
    <row r="207" spans="1:9">
      <c r="A207" s="196">
        <v>905</v>
      </c>
      <c r="B207" s="103" t="s">
        <v>1878</v>
      </c>
      <c r="C207" s="103" t="s">
        <v>1498</v>
      </c>
      <c r="D207" s="103">
        <v>267</v>
      </c>
      <c r="E207" s="238">
        <v>1</v>
      </c>
      <c r="F207" s="201" t="s">
        <v>1879</v>
      </c>
      <c r="G207" s="202">
        <v>45454</v>
      </c>
      <c r="H207" s="201">
        <v>69051</v>
      </c>
      <c r="I207" s="214"/>
    </row>
    <row r="208" spans="1:9">
      <c r="A208" s="196">
        <v>908</v>
      </c>
      <c r="B208" s="103" t="s">
        <v>1880</v>
      </c>
      <c r="C208" s="103" t="s">
        <v>1498</v>
      </c>
      <c r="D208" s="103">
        <v>268</v>
      </c>
      <c r="E208" s="353">
        <v>1</v>
      </c>
      <c r="F208" s="201" t="s">
        <v>1881</v>
      </c>
      <c r="G208" s="202">
        <v>45470</v>
      </c>
      <c r="H208" s="201">
        <v>69081</v>
      </c>
      <c r="I208" s="214"/>
    </row>
    <row r="209" spans="1:9">
      <c r="A209" s="196">
        <v>909</v>
      </c>
      <c r="B209" s="103" t="s">
        <v>1882</v>
      </c>
      <c r="C209" s="103" t="s">
        <v>1883</v>
      </c>
      <c r="D209" s="103">
        <v>269</v>
      </c>
      <c r="E209" s="238">
        <v>1</v>
      </c>
      <c r="F209" s="10" t="s">
        <v>1884</v>
      </c>
      <c r="G209" s="202">
        <v>45454</v>
      </c>
      <c r="H209" s="201">
        <v>69091</v>
      </c>
      <c r="I209" s="214"/>
    </row>
    <row r="210" spans="1:9">
      <c r="A210" s="196">
        <v>912</v>
      </c>
      <c r="B210" s="103" t="s">
        <v>1885</v>
      </c>
      <c r="C210" s="103" t="s">
        <v>1517</v>
      </c>
      <c r="D210" s="103">
        <v>270</v>
      </c>
      <c r="E210" s="359">
        <v>1</v>
      </c>
      <c r="F210" s="215" t="s">
        <v>1886</v>
      </c>
      <c r="G210" s="202">
        <v>45454</v>
      </c>
      <c r="H210" s="201">
        <v>69121</v>
      </c>
      <c r="I210" s="214"/>
    </row>
    <row r="211" spans="1:9">
      <c r="A211" s="196">
        <v>913</v>
      </c>
      <c r="B211" s="201" t="s">
        <v>1887</v>
      </c>
      <c r="C211" s="201" t="s">
        <v>1883</v>
      </c>
      <c r="D211" s="201">
        <v>271</v>
      </c>
      <c r="E211" s="201">
        <v>1</v>
      </c>
      <c r="F211" s="8" t="s">
        <v>1888</v>
      </c>
      <c r="G211" s="202">
        <v>45468</v>
      </c>
      <c r="H211" s="201">
        <v>69131</v>
      </c>
      <c r="I211" s="214"/>
    </row>
    <row r="212" spans="1:9">
      <c r="A212" s="196">
        <v>915</v>
      </c>
      <c r="B212" s="103" t="s">
        <v>1889</v>
      </c>
      <c r="C212" s="103" t="s">
        <v>1553</v>
      </c>
      <c r="D212" s="103">
        <v>272</v>
      </c>
      <c r="E212" s="359">
        <v>2</v>
      </c>
      <c r="F212" s="10" t="s">
        <v>1890</v>
      </c>
      <c r="G212" s="202">
        <v>45824</v>
      </c>
      <c r="H212" s="201" t="s">
        <v>1891</v>
      </c>
      <c r="I212" s="214"/>
    </row>
    <row r="213" spans="1:9">
      <c r="A213" s="196">
        <v>916</v>
      </c>
      <c r="B213" s="103" t="s">
        <v>1892</v>
      </c>
      <c r="C213" s="103" t="s">
        <v>1763</v>
      </c>
      <c r="D213" s="103">
        <v>273</v>
      </c>
      <c r="E213" s="238">
        <v>1</v>
      </c>
      <c r="F213" s="8" t="s">
        <v>1893</v>
      </c>
      <c r="G213" s="202">
        <v>45454</v>
      </c>
      <c r="H213" s="201">
        <v>69161</v>
      </c>
      <c r="I213" s="214"/>
    </row>
    <row r="214" spans="1:9">
      <c r="A214" s="196">
        <v>919</v>
      </c>
      <c r="B214" s="201" t="s">
        <v>1894</v>
      </c>
      <c r="C214" s="201" t="s">
        <v>1571</v>
      </c>
      <c r="D214" s="201">
        <v>274</v>
      </c>
      <c r="E214" s="353">
        <v>2</v>
      </c>
      <c r="F214" s="8" t="s">
        <v>1895</v>
      </c>
      <c r="G214" s="202">
        <v>45813</v>
      </c>
      <c r="H214" s="201" t="s">
        <v>1896</v>
      </c>
      <c r="I214" s="214"/>
    </row>
    <row r="215" spans="1:9">
      <c r="A215" s="196">
        <v>921</v>
      </c>
      <c r="B215" s="103" t="s">
        <v>1897</v>
      </c>
      <c r="C215" s="103" t="s">
        <v>1405</v>
      </c>
      <c r="D215" s="103">
        <v>275</v>
      </c>
      <c r="E215" s="201">
        <v>2</v>
      </c>
      <c r="F215" s="8" t="s">
        <v>1898</v>
      </c>
      <c r="G215" s="202">
        <v>45350</v>
      </c>
      <c r="H215" s="201">
        <v>69211</v>
      </c>
      <c r="I215" s="214"/>
    </row>
    <row r="216" spans="1:9">
      <c r="A216" s="196">
        <v>922</v>
      </c>
      <c r="B216" s="103" t="s">
        <v>1899</v>
      </c>
      <c r="C216" s="103" t="s">
        <v>1556</v>
      </c>
      <c r="D216" s="103">
        <v>276</v>
      </c>
      <c r="E216" s="353">
        <v>2</v>
      </c>
      <c r="F216" s="17" t="s">
        <v>1900</v>
      </c>
      <c r="G216" s="202">
        <v>45846</v>
      </c>
      <c r="H216" s="201" t="s">
        <v>1901</v>
      </c>
      <c r="I216" s="214"/>
    </row>
    <row r="217" spans="1:9">
      <c r="A217" s="196">
        <v>924</v>
      </c>
      <c r="B217" s="103" t="s">
        <v>1902</v>
      </c>
      <c r="C217" s="103" t="s">
        <v>1521</v>
      </c>
      <c r="D217" s="103">
        <v>277</v>
      </c>
      <c r="E217" s="201">
        <v>1</v>
      </c>
      <c r="F217" s="201" t="s">
        <v>1903</v>
      </c>
      <c r="G217" s="205">
        <v>45350</v>
      </c>
      <c r="H217" s="201">
        <v>69241</v>
      </c>
      <c r="I217" s="214"/>
    </row>
    <row r="218" spans="1:9">
      <c r="A218" s="196">
        <v>925</v>
      </c>
      <c r="B218" s="103" t="s">
        <v>1904</v>
      </c>
      <c r="C218" s="103" t="s">
        <v>1460</v>
      </c>
      <c r="D218" s="103">
        <v>278</v>
      </c>
      <c r="E218" s="353">
        <v>1</v>
      </c>
      <c r="F218" s="10" t="s">
        <v>1905</v>
      </c>
      <c r="G218" s="208">
        <v>45448</v>
      </c>
      <c r="H218" s="201">
        <v>69251</v>
      </c>
      <c r="I218" s="214"/>
    </row>
    <row r="219" spans="1:9">
      <c r="A219" s="196">
        <v>926</v>
      </c>
      <c r="B219" s="103" t="s">
        <v>1906</v>
      </c>
      <c r="C219" s="103" t="s">
        <v>1405</v>
      </c>
      <c r="D219" s="103">
        <v>279</v>
      </c>
      <c r="E219" s="201">
        <v>1</v>
      </c>
      <c r="F219" s="94" t="s">
        <v>1907</v>
      </c>
      <c r="G219" s="202">
        <v>45371</v>
      </c>
      <c r="H219" s="201">
        <v>69261</v>
      </c>
      <c r="I219" s="214"/>
    </row>
    <row r="220" spans="1:9">
      <c r="A220" s="196">
        <v>929</v>
      </c>
      <c r="B220" s="103" t="s">
        <v>1908</v>
      </c>
      <c r="C220" s="103" t="s">
        <v>1536</v>
      </c>
      <c r="D220" s="103">
        <v>280</v>
      </c>
      <c r="E220" s="353">
        <v>1</v>
      </c>
      <c r="F220" s="201" t="s">
        <v>1909</v>
      </c>
      <c r="G220" s="202">
        <v>45371</v>
      </c>
      <c r="H220" s="201">
        <v>69291</v>
      </c>
      <c r="I220" s="214"/>
    </row>
    <row r="221" spans="1:9">
      <c r="A221" s="196">
        <v>930</v>
      </c>
      <c r="B221" s="103" t="s">
        <v>1910</v>
      </c>
      <c r="C221" s="103" t="s">
        <v>1553</v>
      </c>
      <c r="D221" s="103">
        <v>281</v>
      </c>
      <c r="E221" s="201">
        <v>1</v>
      </c>
      <c r="F221" s="10" t="s">
        <v>1911</v>
      </c>
      <c r="G221" s="202">
        <v>45369</v>
      </c>
      <c r="H221" s="201">
        <v>69301</v>
      </c>
      <c r="I221" s="214"/>
    </row>
    <row r="222" spans="1:9">
      <c r="A222" s="196">
        <v>934</v>
      </c>
      <c r="B222" s="201" t="s">
        <v>1912</v>
      </c>
      <c r="C222" s="233" t="s">
        <v>1576</v>
      </c>
      <c r="D222" s="201">
        <v>282</v>
      </c>
      <c r="E222" s="353">
        <v>1</v>
      </c>
      <c r="F222" s="8" t="s">
        <v>1913</v>
      </c>
      <c r="G222" s="202">
        <v>45350</v>
      </c>
      <c r="H222" s="201">
        <v>69341</v>
      </c>
      <c r="I222" s="214"/>
    </row>
    <row r="223" spans="1:9">
      <c r="A223" s="196">
        <v>936</v>
      </c>
      <c r="B223" s="103" t="s">
        <v>1914</v>
      </c>
      <c r="C223" s="201" t="s">
        <v>58</v>
      </c>
      <c r="D223" s="201">
        <v>47</v>
      </c>
      <c r="E223" s="201">
        <v>4</v>
      </c>
      <c r="F223" s="213" t="s">
        <v>1915</v>
      </c>
      <c r="G223" s="208">
        <v>45043</v>
      </c>
      <c r="H223" s="212" t="s">
        <v>1916</v>
      </c>
      <c r="I223" s="214"/>
    </row>
    <row r="224" spans="1:9">
      <c r="A224" s="196">
        <v>938</v>
      </c>
      <c r="B224" s="103" t="s">
        <v>1917</v>
      </c>
      <c r="C224" s="207" t="s">
        <v>1492</v>
      </c>
      <c r="D224" s="103">
        <v>283</v>
      </c>
      <c r="E224" s="353">
        <v>1</v>
      </c>
      <c r="F224" s="3" t="s">
        <v>1918</v>
      </c>
      <c r="G224" s="202">
        <v>45477</v>
      </c>
      <c r="H224" s="201">
        <v>69381</v>
      </c>
      <c r="I224" s="214"/>
    </row>
    <row r="225" spans="1:9">
      <c r="A225" s="196">
        <v>939</v>
      </c>
      <c r="B225" s="201" t="s">
        <v>1919</v>
      </c>
      <c r="C225" s="201" t="s">
        <v>58</v>
      </c>
      <c r="D225" s="201">
        <v>36</v>
      </c>
      <c r="E225" s="201">
        <v>4</v>
      </c>
      <c r="F225" s="213" t="s">
        <v>1920</v>
      </c>
      <c r="G225" s="208">
        <v>45043</v>
      </c>
      <c r="H225" s="212" t="s">
        <v>1921</v>
      </c>
      <c r="I225" s="214"/>
    </row>
    <row r="226" spans="1:9">
      <c r="A226" s="196">
        <v>940</v>
      </c>
      <c r="B226" s="103" t="s">
        <v>1922</v>
      </c>
      <c r="C226" s="207" t="s">
        <v>1517</v>
      </c>
      <c r="D226" s="103">
        <v>284</v>
      </c>
      <c r="E226" s="353">
        <v>1</v>
      </c>
      <c r="F226" s="215" t="s">
        <v>1923</v>
      </c>
      <c r="G226" s="198">
        <v>45495</v>
      </c>
      <c r="H226" s="201">
        <v>69401</v>
      </c>
      <c r="I226" s="214"/>
    </row>
    <row r="227" spans="1:9">
      <c r="A227" s="196">
        <v>943</v>
      </c>
      <c r="B227" s="201" t="s">
        <v>1331</v>
      </c>
      <c r="C227" s="233" t="s">
        <v>1498</v>
      </c>
      <c r="D227" s="201">
        <v>285</v>
      </c>
      <c r="E227" s="201">
        <v>2</v>
      </c>
      <c r="F227" s="227" t="s">
        <v>1924</v>
      </c>
      <c r="G227" s="205">
        <v>45369</v>
      </c>
      <c r="H227" s="201" t="s">
        <v>1925</v>
      </c>
      <c r="I227" s="214"/>
    </row>
    <row r="228" spans="1:9">
      <c r="A228" s="196">
        <v>944</v>
      </c>
      <c r="B228" s="201" t="s">
        <v>1926</v>
      </c>
      <c r="C228" s="233" t="s">
        <v>1386</v>
      </c>
      <c r="D228" s="201">
        <v>286</v>
      </c>
      <c r="E228" s="353">
        <v>2</v>
      </c>
      <c r="F228" s="94" t="s">
        <v>1927</v>
      </c>
      <c r="G228" s="208">
        <v>45819</v>
      </c>
      <c r="H228" s="201" t="s">
        <v>1928</v>
      </c>
      <c r="I228" s="214"/>
    </row>
    <row r="229" spans="1:9">
      <c r="A229" s="196">
        <v>951</v>
      </c>
      <c r="B229" s="103" t="s">
        <v>1929</v>
      </c>
      <c r="C229" s="207" t="s">
        <v>1682</v>
      </c>
      <c r="D229" s="103">
        <v>287</v>
      </c>
      <c r="E229" s="201">
        <v>1</v>
      </c>
      <c r="F229" s="8" t="s">
        <v>1930</v>
      </c>
      <c r="G229" s="208">
        <v>45350</v>
      </c>
      <c r="H229" s="201">
        <v>69511</v>
      </c>
      <c r="I229" s="214"/>
    </row>
    <row r="230" spans="1:9">
      <c r="A230" s="196">
        <v>957</v>
      </c>
      <c r="B230" s="201" t="s">
        <v>1491</v>
      </c>
      <c r="C230" s="201" t="s">
        <v>1492</v>
      </c>
      <c r="D230" s="201">
        <v>288</v>
      </c>
      <c r="E230" s="353">
        <v>1</v>
      </c>
      <c r="F230" s="174" t="s">
        <v>1931</v>
      </c>
      <c r="G230" s="198">
        <v>45359</v>
      </c>
      <c r="H230" s="201">
        <v>69571</v>
      </c>
      <c r="I230" s="214"/>
    </row>
    <row r="231" spans="1:9">
      <c r="A231" s="222">
        <v>958</v>
      </c>
      <c r="B231" s="220" t="s">
        <v>1932</v>
      </c>
      <c r="C231" s="220" t="s">
        <v>1517</v>
      </c>
      <c r="D231" s="220">
        <v>289</v>
      </c>
      <c r="E231" s="201">
        <v>1</v>
      </c>
      <c r="F231" s="215" t="s">
        <v>1933</v>
      </c>
      <c r="G231" s="205">
        <v>45369</v>
      </c>
      <c r="H231" s="220">
        <v>69581</v>
      </c>
      <c r="I231" s="250"/>
    </row>
    <row r="232" spans="1:9">
      <c r="A232" s="246" t="s">
        <v>1934</v>
      </c>
      <c r="B232" s="247" t="s">
        <v>1935</v>
      </c>
      <c r="C232" s="247" t="s">
        <v>88</v>
      </c>
      <c r="D232" s="247">
        <v>110</v>
      </c>
      <c r="E232" s="247">
        <v>4</v>
      </c>
      <c r="F232" s="248" t="s">
        <v>1936</v>
      </c>
      <c r="G232" s="249">
        <v>45311</v>
      </c>
      <c r="H232" s="350" t="s">
        <v>1937</v>
      </c>
      <c r="I232" s="214"/>
    </row>
    <row r="233" spans="1:9">
      <c r="F233" s="251"/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6F9F-730A-4DFB-8423-016D85BBBB18}">
  <dimension ref="A1:AU22"/>
  <sheetViews>
    <sheetView workbookViewId="0">
      <pane xSplit="1" topLeftCell="B1" activePane="topRight" state="frozen"/>
      <selection pane="topRight" activeCell="G15" sqref="G15"/>
    </sheetView>
  </sheetViews>
  <sheetFormatPr defaultRowHeight="15" customHeight="1"/>
  <cols>
    <col min="1" max="2" width="14.42578125" bestFit="1" customWidth="1"/>
    <col min="3" max="3" width="18.5703125" customWidth="1"/>
    <col min="4" max="4" width="9.42578125" bestFit="1" customWidth="1"/>
    <col min="5" max="5" width="11.140625" bestFit="1" customWidth="1"/>
    <col min="6" max="6" width="16.140625" bestFit="1" customWidth="1"/>
    <col min="7" max="7" width="10.7109375" customWidth="1"/>
    <col min="8" max="8" width="14.42578125" customWidth="1"/>
    <col min="9" max="9" width="20.42578125" bestFit="1" customWidth="1"/>
    <col min="10" max="10" width="11.85546875" bestFit="1" customWidth="1"/>
    <col min="11" max="11" width="9.42578125" bestFit="1" customWidth="1"/>
    <col min="12" max="12" width="10.7109375" bestFit="1" customWidth="1"/>
    <col min="13" max="13" width="16.140625" bestFit="1" customWidth="1"/>
    <col min="14" max="14" width="10.7109375" customWidth="1"/>
    <col min="15" max="15" width="12.28515625" bestFit="1" customWidth="1"/>
    <col min="16" max="16" width="18.7109375" customWidth="1"/>
    <col min="17" max="17" width="11.85546875" bestFit="1" customWidth="1"/>
    <col min="18" max="18" width="12.7109375" bestFit="1" customWidth="1"/>
    <col min="19" max="19" width="10.7109375" bestFit="1" customWidth="1"/>
    <col min="20" max="20" width="16.140625" bestFit="1" customWidth="1"/>
    <col min="21" max="21" width="10.7109375" customWidth="1"/>
    <col min="22" max="22" width="12.42578125" bestFit="1" customWidth="1"/>
    <col min="23" max="23" width="10.7109375" customWidth="1"/>
    <col min="24" max="24" width="11.85546875" bestFit="1" customWidth="1"/>
    <col min="25" max="25" width="12.42578125" bestFit="1" customWidth="1"/>
    <col min="26" max="26" width="10.7109375" bestFit="1" customWidth="1"/>
    <col min="27" max="27" width="16.140625" bestFit="1" customWidth="1"/>
    <col min="28" max="29" width="10.7109375" customWidth="1"/>
    <col min="30" max="30" width="13.42578125" style="5" bestFit="1" customWidth="1"/>
    <col min="31" max="31" width="11.85546875" bestFit="1" customWidth="1"/>
    <col min="32" max="32" width="18.140625" bestFit="1" customWidth="1"/>
    <col min="33" max="33" width="10.7109375" bestFit="1" customWidth="1"/>
    <col min="34" max="34" width="16.140625" bestFit="1" customWidth="1"/>
    <col min="35" max="35" width="10.42578125" customWidth="1"/>
    <col min="36" max="36" width="12.28515625" bestFit="1" customWidth="1"/>
    <col min="37" max="37" width="10.42578125" customWidth="1"/>
    <col min="38" max="38" width="12.7109375" customWidth="1"/>
    <col min="39" max="40" width="10.42578125" customWidth="1"/>
    <col min="41" max="41" width="16.140625" bestFit="1" customWidth="1"/>
    <col min="42" max="42" width="10.7109375" customWidth="1"/>
    <col min="43" max="43" width="11.140625" customWidth="1"/>
    <col min="44" max="45" width="17.7109375" customWidth="1"/>
    <col min="46" max="46" width="11.5703125" bestFit="1" customWidth="1"/>
    <col min="47" max="47" width="13.42578125" bestFit="1" customWidth="1"/>
  </cols>
  <sheetData>
    <row r="1" spans="1:47">
      <c r="A1" s="72" t="s">
        <v>1938</v>
      </c>
      <c r="B1" s="72" t="s">
        <v>1939</v>
      </c>
      <c r="C1" s="14" t="s">
        <v>1940</v>
      </c>
      <c r="D1" s="15" t="s">
        <v>35</v>
      </c>
      <c r="E1" s="15" t="s">
        <v>16</v>
      </c>
      <c r="F1" s="15" t="s">
        <v>1941</v>
      </c>
      <c r="G1" s="15" t="s">
        <v>1942</v>
      </c>
      <c r="H1" s="15" t="s">
        <v>17</v>
      </c>
      <c r="I1" s="15" t="s">
        <v>20</v>
      </c>
      <c r="J1" s="71" t="s">
        <v>1943</v>
      </c>
      <c r="K1" s="71" t="s">
        <v>35</v>
      </c>
      <c r="L1" s="71" t="s">
        <v>16</v>
      </c>
      <c r="M1" s="71" t="s">
        <v>1941</v>
      </c>
      <c r="N1" s="71" t="s">
        <v>1942</v>
      </c>
      <c r="O1" s="71" t="s">
        <v>17</v>
      </c>
      <c r="P1" s="74" t="s">
        <v>20</v>
      </c>
      <c r="Q1" s="15" t="s">
        <v>1944</v>
      </c>
      <c r="R1" s="14" t="s">
        <v>35</v>
      </c>
      <c r="S1" s="15" t="s">
        <v>16</v>
      </c>
      <c r="T1" s="15" t="s">
        <v>1941</v>
      </c>
      <c r="U1" s="14" t="s">
        <v>1942</v>
      </c>
      <c r="V1" s="15" t="s">
        <v>17</v>
      </c>
      <c r="W1" s="15" t="s">
        <v>20</v>
      </c>
      <c r="X1" s="71" t="s">
        <v>1945</v>
      </c>
      <c r="Y1" s="73" t="s">
        <v>35</v>
      </c>
      <c r="Z1" s="71" t="s">
        <v>16</v>
      </c>
      <c r="AA1" s="71" t="s">
        <v>1941</v>
      </c>
      <c r="AB1" s="72" t="s">
        <v>1942</v>
      </c>
      <c r="AC1" s="71" t="s">
        <v>17</v>
      </c>
      <c r="AD1" s="71" t="s">
        <v>20</v>
      </c>
      <c r="AE1" s="15" t="s">
        <v>1946</v>
      </c>
      <c r="AF1" s="15" t="s">
        <v>35</v>
      </c>
      <c r="AG1" s="15" t="s">
        <v>16</v>
      </c>
      <c r="AH1" s="15" t="s">
        <v>1941</v>
      </c>
      <c r="AI1" s="15" t="s">
        <v>1942</v>
      </c>
      <c r="AJ1" s="15" t="s">
        <v>17</v>
      </c>
      <c r="AK1" s="15" t="s">
        <v>20</v>
      </c>
      <c r="AL1" s="15" t="s">
        <v>1947</v>
      </c>
      <c r="AM1" s="15" t="s">
        <v>35</v>
      </c>
      <c r="AN1" s="15" t="s">
        <v>16</v>
      </c>
      <c r="AO1" s="15" t="s">
        <v>1941</v>
      </c>
      <c r="AP1" s="18" t="s">
        <v>1942</v>
      </c>
      <c r="AQ1" s="15" t="s">
        <v>17</v>
      </c>
      <c r="AR1" s="15" t="s">
        <v>20</v>
      </c>
      <c r="AS1" s="15"/>
      <c r="AT1" s="15" t="s">
        <v>3</v>
      </c>
      <c r="AU1" s="15" t="s">
        <v>1948</v>
      </c>
    </row>
    <row r="2" spans="1:47">
      <c r="A2" s="4" t="s">
        <v>1949</v>
      </c>
      <c r="B2" s="77">
        <v>41100</v>
      </c>
      <c r="C2" s="16" t="s">
        <v>1950</v>
      </c>
      <c r="D2" s="8" t="s">
        <v>1951</v>
      </c>
      <c r="E2" s="8" t="s">
        <v>1952</v>
      </c>
      <c r="F2" s="78">
        <v>44903</v>
      </c>
      <c r="G2" s="78">
        <v>45999</v>
      </c>
      <c r="H2" s="67">
        <v>3181.21</v>
      </c>
      <c r="I2" s="79" t="s">
        <v>1953</v>
      </c>
      <c r="J2" s="8" t="s">
        <v>1954</v>
      </c>
      <c r="K2" s="8" t="s">
        <v>1951</v>
      </c>
      <c r="L2" s="8" t="s">
        <v>1955</v>
      </c>
      <c r="M2" s="78">
        <v>45595</v>
      </c>
      <c r="N2" s="78">
        <v>46690</v>
      </c>
      <c r="O2" s="80">
        <v>3434.64</v>
      </c>
      <c r="P2" s="81">
        <v>110003392209490</v>
      </c>
      <c r="Q2" s="68" t="s">
        <v>1956</v>
      </c>
      <c r="R2" s="8" t="s">
        <v>1957</v>
      </c>
      <c r="S2" s="10" t="s">
        <v>1955</v>
      </c>
      <c r="T2" s="91">
        <v>44750</v>
      </c>
      <c r="U2" s="91">
        <v>45846</v>
      </c>
      <c r="V2" s="92">
        <v>2345.89</v>
      </c>
      <c r="W2" s="93">
        <v>8880105</v>
      </c>
      <c r="X2" s="94"/>
      <c r="Y2" s="70"/>
      <c r="Z2" s="70"/>
      <c r="AA2" s="70"/>
      <c r="AB2" s="70"/>
      <c r="AC2" s="70"/>
      <c r="AD2" s="95"/>
      <c r="AE2" s="96"/>
      <c r="AF2" s="16"/>
      <c r="AG2" s="16"/>
      <c r="AH2" s="97"/>
      <c r="AI2" s="16"/>
      <c r="AJ2" s="16"/>
      <c r="AK2" s="93"/>
      <c r="AL2" s="98"/>
      <c r="AM2" s="98"/>
      <c r="AN2" s="98"/>
      <c r="AO2" s="63"/>
      <c r="AP2" s="12"/>
      <c r="AQ2" s="17"/>
      <c r="AR2" s="17"/>
      <c r="AS2" s="17"/>
      <c r="AT2" s="17"/>
      <c r="AU2" s="17"/>
    </row>
    <row r="3" spans="1:47">
      <c r="A3" s="4" t="s">
        <v>1958</v>
      </c>
      <c r="B3" s="82"/>
      <c r="C3" s="83" t="s">
        <v>1950</v>
      </c>
      <c r="D3" s="8" t="s">
        <v>1951</v>
      </c>
      <c r="E3" s="8" t="s">
        <v>1959</v>
      </c>
      <c r="F3" s="78">
        <v>44901</v>
      </c>
      <c r="G3" s="78">
        <v>45997</v>
      </c>
      <c r="H3" s="67">
        <v>5657.1</v>
      </c>
      <c r="I3" s="79" t="s">
        <v>1960</v>
      </c>
      <c r="J3" s="8" t="s">
        <v>1954</v>
      </c>
      <c r="K3" s="8" t="s">
        <v>1951</v>
      </c>
      <c r="L3" s="8" t="s">
        <v>1955</v>
      </c>
      <c r="M3" s="78">
        <v>45132</v>
      </c>
      <c r="N3" s="78">
        <v>46228</v>
      </c>
      <c r="O3" s="80">
        <v>3763.7</v>
      </c>
      <c r="P3" s="81">
        <v>830000171641295</v>
      </c>
      <c r="Q3" s="68" t="s">
        <v>1956</v>
      </c>
      <c r="R3" s="8" t="s">
        <v>1961</v>
      </c>
      <c r="S3" s="8" t="s">
        <v>1955</v>
      </c>
      <c r="T3" s="91">
        <v>44750</v>
      </c>
      <c r="U3" s="91">
        <v>45846</v>
      </c>
      <c r="V3" s="67">
        <v>2345.89</v>
      </c>
      <c r="W3" s="99">
        <v>8880104</v>
      </c>
      <c r="X3" s="8" t="s">
        <v>1962</v>
      </c>
      <c r="Y3" s="8" t="s">
        <v>1963</v>
      </c>
      <c r="Z3" s="8" t="s">
        <v>1964</v>
      </c>
      <c r="AA3" s="23"/>
      <c r="AB3" s="23"/>
      <c r="AC3" s="8">
        <v>4993.0600000000004</v>
      </c>
      <c r="AD3" s="8" t="s">
        <v>1965</v>
      </c>
      <c r="AE3" s="68" t="s">
        <v>1956</v>
      </c>
      <c r="AF3" s="83" t="s">
        <v>1966</v>
      </c>
      <c r="AG3" s="83" t="s">
        <v>1967</v>
      </c>
      <c r="AH3" s="89">
        <v>44651</v>
      </c>
      <c r="AI3" s="83" t="s">
        <v>1968</v>
      </c>
      <c r="AJ3" s="67">
        <v>1034.56</v>
      </c>
      <c r="AK3" s="99">
        <v>8788650</v>
      </c>
      <c r="AL3" s="100" t="s">
        <v>1969</v>
      </c>
      <c r="AM3" s="100" t="s">
        <v>1963</v>
      </c>
      <c r="AN3" s="100" t="s">
        <v>1970</v>
      </c>
      <c r="AO3" s="84">
        <v>45070</v>
      </c>
      <c r="AP3" s="8" t="s">
        <v>1968</v>
      </c>
      <c r="AQ3" s="80">
        <v>3998.82</v>
      </c>
      <c r="AR3" s="76">
        <v>110005641094794</v>
      </c>
      <c r="AS3" s="76"/>
      <c r="AT3" s="7"/>
      <c r="AU3" s="8"/>
    </row>
    <row r="4" spans="1:47">
      <c r="A4" s="4" t="s">
        <v>1971</v>
      </c>
      <c r="B4" s="82" t="s">
        <v>1972</v>
      </c>
      <c r="C4" s="83" t="s">
        <v>1954</v>
      </c>
      <c r="D4" s="8" t="s">
        <v>1951</v>
      </c>
      <c r="E4" s="8" t="s">
        <v>1973</v>
      </c>
      <c r="F4" s="78">
        <v>45338</v>
      </c>
      <c r="G4" s="78">
        <v>46434</v>
      </c>
      <c r="H4" s="67">
        <v>1760.03</v>
      </c>
      <c r="I4" s="19">
        <v>113004643101796</v>
      </c>
      <c r="J4" s="8" t="s">
        <v>1974</v>
      </c>
      <c r="K4" s="8" t="s">
        <v>1951</v>
      </c>
      <c r="L4" s="8" t="s">
        <v>1975</v>
      </c>
      <c r="M4" s="78">
        <v>45609</v>
      </c>
      <c r="N4" s="78">
        <v>46704</v>
      </c>
      <c r="O4" s="80">
        <v>430</v>
      </c>
      <c r="P4" s="8" t="s">
        <v>1976</v>
      </c>
      <c r="Q4" s="68" t="s">
        <v>1956</v>
      </c>
      <c r="R4" s="8" t="s">
        <v>1977</v>
      </c>
      <c r="S4" s="8" t="s">
        <v>1967</v>
      </c>
      <c r="T4" s="78">
        <v>44651</v>
      </c>
      <c r="U4" s="78" t="s">
        <v>1968</v>
      </c>
      <c r="V4" s="67">
        <v>1034.56</v>
      </c>
      <c r="W4" s="86">
        <v>8788652</v>
      </c>
      <c r="X4" s="10"/>
      <c r="Y4" s="101"/>
      <c r="Z4" s="101"/>
      <c r="AA4" s="101"/>
      <c r="AB4" s="101"/>
      <c r="AC4" s="101"/>
      <c r="AD4" s="102"/>
      <c r="AE4" s="68"/>
      <c r="AF4" s="83"/>
      <c r="AG4" s="83"/>
      <c r="AH4" s="89"/>
      <c r="AI4" s="83"/>
      <c r="AJ4" s="83"/>
      <c r="AK4" s="99"/>
      <c r="AL4" s="103"/>
      <c r="AM4" s="103"/>
      <c r="AN4" s="103"/>
      <c r="AO4" s="7"/>
      <c r="AP4" s="104"/>
      <c r="AQ4" s="10"/>
      <c r="AR4" s="10"/>
      <c r="AS4" s="10"/>
      <c r="AT4" s="10"/>
      <c r="AU4" s="10" t="s">
        <v>1978</v>
      </c>
    </row>
    <row r="5" spans="1:47">
      <c r="A5" s="4" t="s">
        <v>1979</v>
      </c>
      <c r="B5" s="82" t="s">
        <v>1980</v>
      </c>
      <c r="C5" s="83" t="s">
        <v>1956</v>
      </c>
      <c r="D5" s="17" t="s">
        <v>1951</v>
      </c>
      <c r="E5" s="17" t="s">
        <v>1981</v>
      </c>
      <c r="F5" s="84">
        <v>44596</v>
      </c>
      <c r="G5" s="84" t="s">
        <v>1968</v>
      </c>
      <c r="H5" s="85">
        <v>980.92</v>
      </c>
      <c r="I5" s="86" t="s">
        <v>1982</v>
      </c>
      <c r="J5" s="17" t="s">
        <v>1950</v>
      </c>
      <c r="K5" s="17" t="s">
        <v>1951</v>
      </c>
      <c r="L5" s="17" t="s">
        <v>1981</v>
      </c>
      <c r="M5" s="84">
        <v>44714</v>
      </c>
      <c r="N5" s="84" t="s">
        <v>1968</v>
      </c>
      <c r="O5" s="87">
        <v>484.62</v>
      </c>
      <c r="P5" s="88" t="s">
        <v>1983</v>
      </c>
      <c r="Q5" s="69"/>
      <c r="R5" s="12"/>
      <c r="S5" s="12"/>
      <c r="T5" s="12"/>
      <c r="U5" s="12"/>
      <c r="V5" s="12"/>
      <c r="W5" s="12"/>
      <c r="X5" s="17"/>
      <c r="Y5" s="13"/>
      <c r="Z5" s="13"/>
      <c r="AA5" s="13"/>
      <c r="AB5" s="13"/>
      <c r="AC5" s="13"/>
      <c r="AD5" s="4"/>
      <c r="AE5" s="69"/>
      <c r="AF5" s="13"/>
      <c r="AG5" s="13"/>
      <c r="AH5" s="13"/>
      <c r="AI5" s="13"/>
      <c r="AJ5" s="13"/>
      <c r="AK5" s="13"/>
      <c r="AL5" s="70"/>
      <c r="AM5" s="70"/>
      <c r="AN5" s="70"/>
      <c r="AO5" s="11"/>
      <c r="AP5" s="7"/>
      <c r="AQ5" s="8"/>
      <c r="AR5" s="8"/>
      <c r="AS5" s="8"/>
      <c r="AT5" s="8"/>
      <c r="AU5" s="8" t="s">
        <v>1984</v>
      </c>
    </row>
    <row r="6" spans="1:47">
      <c r="A6" s="4" t="s">
        <v>1985</v>
      </c>
      <c r="B6" s="82" t="s">
        <v>1986</v>
      </c>
      <c r="C6" s="83" t="s">
        <v>1956</v>
      </c>
      <c r="D6" s="8" t="s">
        <v>1951</v>
      </c>
      <c r="E6" s="8" t="s">
        <v>1987</v>
      </c>
      <c r="F6" s="78">
        <v>44617</v>
      </c>
      <c r="G6" s="78" t="s">
        <v>1968</v>
      </c>
      <c r="H6" s="67">
        <v>450.13</v>
      </c>
      <c r="I6" s="86" t="s">
        <v>1988</v>
      </c>
      <c r="J6" s="8" t="s">
        <v>1954</v>
      </c>
      <c r="K6" s="8" t="s">
        <v>1951</v>
      </c>
      <c r="L6" s="8" t="s">
        <v>1989</v>
      </c>
      <c r="M6" s="89">
        <v>44470</v>
      </c>
      <c r="N6" s="8" t="s">
        <v>1968</v>
      </c>
      <c r="O6" s="80">
        <v>584.64</v>
      </c>
      <c r="P6" s="81">
        <v>621980152126996</v>
      </c>
      <c r="Q6" s="68"/>
      <c r="R6" s="7"/>
      <c r="S6" s="7"/>
      <c r="T6" s="7"/>
      <c r="U6" s="7"/>
      <c r="V6" s="7"/>
      <c r="W6" s="7"/>
      <c r="X6" s="8"/>
      <c r="Y6" s="9"/>
      <c r="Z6" s="9"/>
      <c r="AA6" s="9"/>
      <c r="AB6" s="7"/>
      <c r="AC6" s="9"/>
      <c r="AD6" s="4"/>
      <c r="AE6" s="68"/>
      <c r="AF6" s="7"/>
      <c r="AG6" s="7"/>
      <c r="AH6" s="7"/>
      <c r="AI6" s="7"/>
      <c r="AJ6" s="7"/>
      <c r="AK6" s="7"/>
      <c r="AL6" s="65"/>
      <c r="AM6" s="65"/>
      <c r="AN6" s="65"/>
      <c r="AO6" s="65"/>
      <c r="AP6" s="7"/>
      <c r="AQ6" s="8"/>
      <c r="AR6" s="8"/>
      <c r="AS6" s="8"/>
      <c r="AT6" s="8"/>
      <c r="AU6" s="8" t="s">
        <v>1990</v>
      </c>
    </row>
    <row r="7" spans="1:47">
      <c r="A7" s="4" t="s">
        <v>1935</v>
      </c>
      <c r="B7" s="82" t="s">
        <v>1991</v>
      </c>
      <c r="C7" s="83" t="s">
        <v>1956</v>
      </c>
      <c r="D7" s="8" t="s">
        <v>1951</v>
      </c>
      <c r="E7" s="8" t="s">
        <v>1981</v>
      </c>
      <c r="F7" s="78">
        <v>44589</v>
      </c>
      <c r="G7" s="78" t="s">
        <v>1968</v>
      </c>
      <c r="H7" s="90">
        <v>566.52</v>
      </c>
      <c r="I7" s="86" t="s">
        <v>1992</v>
      </c>
      <c r="J7" s="8" t="s">
        <v>1993</v>
      </c>
      <c r="K7" s="8" t="s">
        <v>1951</v>
      </c>
      <c r="L7" s="8" t="s">
        <v>1981</v>
      </c>
      <c r="M7" s="89">
        <v>44735</v>
      </c>
      <c r="N7" s="8" t="s">
        <v>1968</v>
      </c>
      <c r="O7" s="80">
        <v>897.79</v>
      </c>
      <c r="P7" s="8" t="s">
        <v>1994</v>
      </c>
      <c r="Q7" s="68"/>
      <c r="R7" s="7"/>
      <c r="S7" s="7"/>
      <c r="T7" s="7"/>
      <c r="U7" s="7"/>
      <c r="V7" s="7"/>
      <c r="W7" s="7"/>
      <c r="X7" s="8"/>
      <c r="Y7" s="9"/>
      <c r="Z7" s="9"/>
      <c r="AA7" s="9"/>
      <c r="AB7" s="7"/>
      <c r="AC7" s="9"/>
      <c r="AD7" s="4"/>
      <c r="AE7" s="65"/>
      <c r="AF7" s="7"/>
      <c r="AG7" s="7"/>
      <c r="AH7" s="7"/>
      <c r="AI7" s="7"/>
      <c r="AJ7" s="7"/>
      <c r="AK7" s="7"/>
      <c r="AL7" s="65"/>
      <c r="AM7" s="65"/>
      <c r="AN7" s="65"/>
      <c r="AO7" s="65"/>
      <c r="AP7" s="7"/>
      <c r="AQ7" s="8"/>
      <c r="AR7" s="8"/>
      <c r="AS7" s="8"/>
      <c r="AT7" s="8"/>
      <c r="AU7" s="8" t="s">
        <v>1995</v>
      </c>
    </row>
    <row r="8" spans="1:47" ht="15" customHeight="1">
      <c r="B8" s="1128" t="s">
        <v>1996</v>
      </c>
      <c r="C8" s="8" t="s">
        <v>1997</v>
      </c>
      <c r="D8" s="8" t="s">
        <v>1963</v>
      </c>
      <c r="E8" s="8" t="s">
        <v>1998</v>
      </c>
      <c r="F8" s="78">
        <v>43738</v>
      </c>
      <c r="G8" s="8" t="s">
        <v>1968</v>
      </c>
      <c r="H8" s="67">
        <v>832.3</v>
      </c>
      <c r="I8" s="81">
        <v>110714191224793</v>
      </c>
      <c r="J8" s="17" t="s">
        <v>1950</v>
      </c>
      <c r="K8" s="8" t="s">
        <v>1963</v>
      </c>
      <c r="L8" s="8" t="s">
        <v>1999</v>
      </c>
      <c r="M8" s="23"/>
      <c r="N8" s="23"/>
      <c r="O8" s="67">
        <v>1343.81</v>
      </c>
      <c r="P8" s="8" t="s">
        <v>2000</v>
      </c>
    </row>
    <row r="9" spans="1:47" ht="15" customHeight="1">
      <c r="B9" s="1128"/>
      <c r="C9" s="8" t="s">
        <v>2001</v>
      </c>
      <c r="D9" s="8" t="s">
        <v>1963</v>
      </c>
      <c r="E9" s="8" t="s">
        <v>1998</v>
      </c>
      <c r="F9" s="78">
        <v>43738</v>
      </c>
      <c r="G9" s="8" t="s">
        <v>1968</v>
      </c>
      <c r="H9" s="67">
        <v>832.3</v>
      </c>
      <c r="I9" s="81">
        <v>110003106383097</v>
      </c>
      <c r="J9" s="17" t="s">
        <v>1950</v>
      </c>
      <c r="K9" s="8" t="s">
        <v>1963</v>
      </c>
      <c r="L9" s="8" t="s">
        <v>1999</v>
      </c>
      <c r="M9" s="23"/>
      <c r="N9" s="23"/>
      <c r="O9" s="67">
        <v>1909.68</v>
      </c>
      <c r="P9" s="8" t="s">
        <v>2002</v>
      </c>
    </row>
    <row r="14" spans="1:47" ht="15" customHeight="1">
      <c r="B14" s="6"/>
      <c r="C14" s="5"/>
    </row>
    <row r="15" spans="1:47" ht="15" customHeight="1">
      <c r="B15" s="8" t="s">
        <v>1949</v>
      </c>
      <c r="C15" s="67">
        <f>SUM(H2+O2+V2)</f>
        <v>8961.74</v>
      </c>
    </row>
    <row r="16" spans="1:47" ht="15" customHeight="1">
      <c r="B16" s="8" t="s">
        <v>2003</v>
      </c>
      <c r="C16" s="67">
        <f>SUM(H3+O3+V3+AJ3)</f>
        <v>12801.249999999998</v>
      </c>
    </row>
    <row r="17" spans="2:3" ht="15" customHeight="1">
      <c r="B17" s="8" t="s">
        <v>1971</v>
      </c>
      <c r="C17" s="67">
        <f>SUM(H4+O4+V4)</f>
        <v>3224.5899999999997</v>
      </c>
    </row>
    <row r="18" spans="2:3" ht="15" customHeight="1">
      <c r="B18" s="8" t="s">
        <v>1979</v>
      </c>
      <c r="C18" s="67">
        <f t="shared" ref="C18:C20" si="0">SUM(H5+O5+V5)</f>
        <v>1465.54</v>
      </c>
    </row>
    <row r="19" spans="2:3" ht="15" customHeight="1">
      <c r="B19" s="8" t="s">
        <v>1985</v>
      </c>
      <c r="C19" s="67">
        <f t="shared" si="0"/>
        <v>1034.77</v>
      </c>
    </row>
    <row r="20" spans="2:3" ht="15" customHeight="1">
      <c r="B20" s="8" t="s">
        <v>1935</v>
      </c>
      <c r="C20" s="67">
        <f t="shared" si="0"/>
        <v>1464.31</v>
      </c>
    </row>
    <row r="21" spans="2:3" ht="15" customHeight="1">
      <c r="B21" s="8" t="s">
        <v>1996</v>
      </c>
      <c r="C21" s="67">
        <f>SUM(AC3+AQ3+H8+H9+O8+O9)</f>
        <v>13909.97</v>
      </c>
    </row>
    <row r="22" spans="2:3" ht="15" customHeight="1">
      <c r="B22" s="23" t="s">
        <v>15</v>
      </c>
      <c r="C22" s="75">
        <f>SUM(C15:C21)</f>
        <v>42862.17</v>
      </c>
    </row>
  </sheetData>
  <mergeCells count="1">
    <mergeCell ref="B8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50A6-F6C2-487D-86D7-9209B510762E}">
  <dimension ref="A1:P237"/>
  <sheetViews>
    <sheetView topLeftCell="A133" workbookViewId="0">
      <selection activeCell="G137" sqref="G137"/>
    </sheetView>
  </sheetViews>
  <sheetFormatPr defaultRowHeight="15"/>
  <cols>
    <col min="1" max="1" width="11.28515625" style="6" bestFit="1" customWidth="1"/>
    <col min="2" max="2" width="13.42578125" customWidth="1"/>
    <col min="3" max="3" width="25.42578125" style="6" bestFit="1" customWidth="1"/>
    <col min="4" max="4" width="12" style="6" bestFit="1" customWidth="1"/>
    <col min="5" max="5" width="25.42578125" style="6" customWidth="1"/>
    <col min="7" max="7" width="13.28515625" bestFit="1" customWidth="1"/>
    <col min="8" max="8" width="12.85546875" style="302" customWidth="1"/>
    <col min="9" max="9" width="10.140625" customWidth="1"/>
    <col min="10" max="10" width="7.28515625" customWidth="1"/>
    <col min="11" max="11" width="6.140625" bestFit="1" customWidth="1"/>
    <col min="12" max="12" width="7.140625" bestFit="1" customWidth="1"/>
    <col min="16" max="16" width="10.28515625" customWidth="1"/>
  </cols>
  <sheetData>
    <row r="1" spans="1:16">
      <c r="A1" s="17" t="s">
        <v>1939</v>
      </c>
      <c r="B1" s="12" t="s">
        <v>14</v>
      </c>
      <c r="C1" s="17" t="s">
        <v>2004</v>
      </c>
      <c r="D1" s="17" t="s">
        <v>2005</v>
      </c>
      <c r="E1" s="17" t="s">
        <v>2006</v>
      </c>
      <c r="F1" s="12" t="s">
        <v>2007</v>
      </c>
      <c r="G1" s="12" t="s">
        <v>2008</v>
      </c>
      <c r="H1" s="308" t="s">
        <v>17</v>
      </c>
      <c r="P1" t="s">
        <v>24</v>
      </c>
    </row>
    <row r="2" spans="1:16">
      <c r="A2" s="275">
        <v>22</v>
      </c>
      <c r="B2" s="8" t="s">
        <v>1358</v>
      </c>
      <c r="C2" s="8" t="s">
        <v>1358</v>
      </c>
      <c r="D2" s="8" t="s">
        <v>1358</v>
      </c>
      <c r="E2" s="213"/>
      <c r="F2" s="278" t="s">
        <v>2009</v>
      </c>
      <c r="G2" s="8" t="s">
        <v>1358</v>
      </c>
      <c r="H2" s="325">
        <v>0</v>
      </c>
      <c r="P2" s="188">
        <f t="shared" ref="P2:P48" si="0">SUM(I2:O2)</f>
        <v>0</v>
      </c>
    </row>
    <row r="3" spans="1:16">
      <c r="A3" s="275">
        <v>43</v>
      </c>
      <c r="B3" s="8" t="s">
        <v>1358</v>
      </c>
      <c r="C3" s="8" t="s">
        <v>1358</v>
      </c>
      <c r="D3" s="8" t="s">
        <v>1358</v>
      </c>
      <c r="E3" s="213"/>
      <c r="F3" s="278" t="s">
        <v>2009</v>
      </c>
      <c r="G3" s="8" t="s">
        <v>1358</v>
      </c>
      <c r="H3" s="325">
        <v>0</v>
      </c>
      <c r="P3" s="188">
        <f t="shared" si="0"/>
        <v>0</v>
      </c>
    </row>
    <row r="4" spans="1:16">
      <c r="A4" s="316">
        <v>80</v>
      </c>
      <c r="B4" s="218" t="s">
        <v>2010</v>
      </c>
      <c r="C4" s="218" t="s">
        <v>2011</v>
      </c>
      <c r="D4" s="218">
        <v>2027121479</v>
      </c>
      <c r="E4" s="8" t="s">
        <v>2012</v>
      </c>
      <c r="F4" s="218" t="s">
        <v>2009</v>
      </c>
      <c r="G4" s="8">
        <v>11995086262</v>
      </c>
      <c r="H4" s="314">
        <v>104.05</v>
      </c>
      <c r="I4">
        <v>104.05</v>
      </c>
      <c r="P4" s="188">
        <f t="shared" si="0"/>
        <v>104.05</v>
      </c>
    </row>
    <row r="5" spans="1:16" ht="90">
      <c r="A5" s="309">
        <v>87</v>
      </c>
      <c r="B5" s="311" t="s">
        <v>2010</v>
      </c>
      <c r="C5" s="311" t="s">
        <v>2013</v>
      </c>
      <c r="D5" s="311">
        <v>381199225</v>
      </c>
      <c r="E5" s="209" t="s">
        <v>2014</v>
      </c>
      <c r="F5" s="311" t="s">
        <v>2009</v>
      </c>
      <c r="G5" s="313" t="s">
        <v>2015</v>
      </c>
      <c r="H5" s="332" t="s">
        <v>2016</v>
      </c>
      <c r="I5">
        <v>18.989999999999998</v>
      </c>
      <c r="J5">
        <v>18.989999999999998</v>
      </c>
      <c r="K5">
        <v>18.989999999999998</v>
      </c>
      <c r="P5" s="188">
        <f t="shared" si="0"/>
        <v>56.97</v>
      </c>
    </row>
    <row r="6" spans="1:16" ht="60">
      <c r="A6" s="309">
        <v>120</v>
      </c>
      <c r="B6" s="310" t="s">
        <v>2010</v>
      </c>
      <c r="C6" s="310" t="s">
        <v>2017</v>
      </c>
      <c r="D6" s="310">
        <v>381199225</v>
      </c>
      <c r="E6" s="234" t="s">
        <v>2018</v>
      </c>
      <c r="F6" s="310" t="s">
        <v>2009</v>
      </c>
      <c r="G6" s="312" t="s">
        <v>2019</v>
      </c>
      <c r="H6" s="333" t="s">
        <v>2020</v>
      </c>
      <c r="I6">
        <v>30.5</v>
      </c>
      <c r="J6">
        <v>18.989999999999998</v>
      </c>
      <c r="P6" s="188">
        <f t="shared" si="0"/>
        <v>49.489999999999995</v>
      </c>
    </row>
    <row r="7" spans="1:16" ht="120">
      <c r="A7" s="275">
        <v>140</v>
      </c>
      <c r="B7" s="278" t="s">
        <v>2010</v>
      </c>
      <c r="C7" s="278" t="s">
        <v>2013</v>
      </c>
      <c r="D7" s="278">
        <v>381199225</v>
      </c>
      <c r="E7" s="213" t="s">
        <v>2021</v>
      </c>
      <c r="F7" s="278" t="s">
        <v>2009</v>
      </c>
      <c r="G7" s="276" t="s">
        <v>2022</v>
      </c>
      <c r="H7" s="303" t="s">
        <v>2023</v>
      </c>
      <c r="I7">
        <v>18.989999999999998</v>
      </c>
      <c r="J7">
        <v>18.989999999999998</v>
      </c>
      <c r="K7">
        <v>18.989999999999998</v>
      </c>
      <c r="L7">
        <v>30.5</v>
      </c>
      <c r="P7" s="188">
        <f t="shared" si="0"/>
        <v>87.47</v>
      </c>
    </row>
    <row r="8" spans="1:16" ht="120">
      <c r="A8" s="275">
        <v>142</v>
      </c>
      <c r="B8" s="278" t="s">
        <v>2024</v>
      </c>
      <c r="C8" s="278" t="s">
        <v>2025</v>
      </c>
      <c r="D8" s="278">
        <v>832140239</v>
      </c>
      <c r="E8" s="213" t="s">
        <v>2026</v>
      </c>
      <c r="F8" s="278" t="s">
        <v>2009</v>
      </c>
      <c r="G8" s="276" t="s">
        <v>2027</v>
      </c>
      <c r="H8" s="303" t="s">
        <v>2028</v>
      </c>
      <c r="I8">
        <v>62.23</v>
      </c>
      <c r="J8">
        <v>50.59</v>
      </c>
      <c r="K8">
        <v>50.59</v>
      </c>
      <c r="L8">
        <v>50.59</v>
      </c>
      <c r="P8" s="188">
        <f t="shared" si="0"/>
        <v>214</v>
      </c>
    </row>
    <row r="9" spans="1:16">
      <c r="A9" s="275">
        <v>125</v>
      </c>
      <c r="B9" s="8" t="s">
        <v>1358</v>
      </c>
      <c r="C9" s="8" t="s">
        <v>1358</v>
      </c>
      <c r="D9" s="8" t="s">
        <v>1358</v>
      </c>
      <c r="E9" s="213"/>
      <c r="F9" s="278" t="s">
        <v>2009</v>
      </c>
      <c r="G9" s="8" t="s">
        <v>1358</v>
      </c>
      <c r="H9" s="325">
        <v>0</v>
      </c>
      <c r="P9" s="188">
        <f t="shared" si="0"/>
        <v>0</v>
      </c>
    </row>
    <row r="10" spans="1:16">
      <c r="A10" s="275">
        <v>130</v>
      </c>
      <c r="B10" s="8" t="s">
        <v>1358</v>
      </c>
      <c r="C10" s="8" t="s">
        <v>1358</v>
      </c>
      <c r="D10" s="8" t="s">
        <v>1358</v>
      </c>
      <c r="E10" s="213"/>
      <c r="F10" s="278" t="s">
        <v>2009</v>
      </c>
      <c r="G10" s="8" t="s">
        <v>1358</v>
      </c>
      <c r="H10" s="325">
        <v>0</v>
      </c>
      <c r="P10" s="188">
        <f t="shared" si="0"/>
        <v>0</v>
      </c>
    </row>
    <row r="11" spans="1:16">
      <c r="A11" s="275">
        <v>133</v>
      </c>
      <c r="B11" s="8" t="s">
        <v>1358</v>
      </c>
      <c r="C11" s="8" t="s">
        <v>1358</v>
      </c>
      <c r="D11" s="8" t="s">
        <v>1358</v>
      </c>
      <c r="E11" s="213"/>
      <c r="F11" s="278" t="s">
        <v>2009</v>
      </c>
      <c r="G11" s="8" t="s">
        <v>1358</v>
      </c>
      <c r="H11" s="325">
        <v>0</v>
      </c>
      <c r="P11" s="188">
        <f t="shared" si="0"/>
        <v>0</v>
      </c>
    </row>
    <row r="12" spans="1:16">
      <c r="A12" s="275">
        <v>135</v>
      </c>
      <c r="B12" s="8" t="s">
        <v>1358</v>
      </c>
      <c r="C12" s="8" t="s">
        <v>1358</v>
      </c>
      <c r="D12" s="8" t="s">
        <v>1358</v>
      </c>
      <c r="E12" s="213"/>
      <c r="F12" s="278" t="s">
        <v>2009</v>
      </c>
      <c r="G12" s="8" t="s">
        <v>1358</v>
      </c>
      <c r="H12" s="325">
        <v>0</v>
      </c>
      <c r="P12" s="188">
        <f t="shared" si="0"/>
        <v>0</v>
      </c>
    </row>
    <row r="13" spans="1:16">
      <c r="A13" s="275">
        <v>136</v>
      </c>
      <c r="B13" s="8" t="s">
        <v>1358</v>
      </c>
      <c r="C13" s="8" t="s">
        <v>1358</v>
      </c>
      <c r="D13" s="8" t="s">
        <v>1358</v>
      </c>
      <c r="E13" s="213"/>
      <c r="F13" s="278" t="s">
        <v>2009</v>
      </c>
      <c r="G13" s="8" t="s">
        <v>1358</v>
      </c>
      <c r="H13" s="325">
        <v>0</v>
      </c>
      <c r="P13" s="188">
        <f t="shared" si="0"/>
        <v>0</v>
      </c>
    </row>
    <row r="14" spans="1:16" ht="60">
      <c r="A14" s="275">
        <v>150</v>
      </c>
      <c r="B14" s="278" t="s">
        <v>2010</v>
      </c>
      <c r="C14" s="278" t="s">
        <v>2013</v>
      </c>
      <c r="D14" s="278">
        <v>381199225</v>
      </c>
      <c r="E14" s="213" t="s">
        <v>2029</v>
      </c>
      <c r="F14" s="278" t="s">
        <v>2009</v>
      </c>
      <c r="G14" s="276" t="s">
        <v>2030</v>
      </c>
      <c r="H14" s="303" t="s">
        <v>2031</v>
      </c>
      <c r="I14">
        <v>18.989999999999998</v>
      </c>
      <c r="J14">
        <v>18.989999999999998</v>
      </c>
      <c r="P14" s="188">
        <f t="shared" si="0"/>
        <v>37.979999999999997</v>
      </c>
    </row>
    <row r="15" spans="1:16" ht="60">
      <c r="A15" s="275">
        <v>160</v>
      </c>
      <c r="B15" s="278" t="s">
        <v>2010</v>
      </c>
      <c r="C15" s="278" t="s">
        <v>2013</v>
      </c>
      <c r="D15" s="278">
        <v>381199225</v>
      </c>
      <c r="E15" s="213" t="s">
        <v>2032</v>
      </c>
      <c r="F15" s="278" t="s">
        <v>2009</v>
      </c>
      <c r="G15" s="276" t="s">
        <v>2033</v>
      </c>
      <c r="H15" s="303" t="s">
        <v>2034</v>
      </c>
      <c r="I15">
        <v>18.989999999999998</v>
      </c>
      <c r="J15">
        <v>18.989999999999998</v>
      </c>
      <c r="P15" s="188">
        <f t="shared" si="0"/>
        <v>37.979999999999997</v>
      </c>
    </row>
    <row r="16" spans="1:16" ht="90">
      <c r="A16" s="275">
        <v>178</v>
      </c>
      <c r="B16" s="311" t="s">
        <v>2010</v>
      </c>
      <c r="C16" s="311" t="s">
        <v>2013</v>
      </c>
      <c r="D16" s="311">
        <v>381199225</v>
      </c>
      <c r="E16" s="213" t="s">
        <v>2035</v>
      </c>
      <c r="F16" s="278" t="s">
        <v>2009</v>
      </c>
      <c r="G16" s="313" t="s">
        <v>2036</v>
      </c>
      <c r="H16" s="364" t="s">
        <v>2031</v>
      </c>
      <c r="I16">
        <v>18.989999999999998</v>
      </c>
      <c r="J16">
        <v>18.989999999999998</v>
      </c>
      <c r="P16" s="188">
        <f t="shared" si="0"/>
        <v>37.979999999999997</v>
      </c>
    </row>
    <row r="17" spans="1:16" ht="90">
      <c r="A17" s="275">
        <v>508</v>
      </c>
      <c r="B17" s="311" t="s">
        <v>2010</v>
      </c>
      <c r="C17" s="311" t="s">
        <v>2013</v>
      </c>
      <c r="D17" s="311">
        <v>381199225</v>
      </c>
      <c r="E17" s="213" t="s">
        <v>2037</v>
      </c>
      <c r="F17" s="278" t="s">
        <v>2009</v>
      </c>
      <c r="G17" s="313" t="s">
        <v>2038</v>
      </c>
      <c r="H17" s="364" t="s">
        <v>2039</v>
      </c>
      <c r="I17">
        <v>18.989999999999998</v>
      </c>
      <c r="J17">
        <v>18.989999999999998</v>
      </c>
      <c r="P17" s="188">
        <f t="shared" si="0"/>
        <v>37.979999999999997</v>
      </c>
    </row>
    <row r="18" spans="1:16">
      <c r="A18" s="275">
        <v>165</v>
      </c>
      <c r="B18" s="210" t="s">
        <v>1358</v>
      </c>
      <c r="C18" s="210" t="s">
        <v>1358</v>
      </c>
      <c r="D18" s="210" t="s">
        <v>1358</v>
      </c>
      <c r="E18" s="213" t="s">
        <v>2040</v>
      </c>
      <c r="F18" s="278" t="s">
        <v>2009</v>
      </c>
      <c r="G18" s="210" t="s">
        <v>1358</v>
      </c>
      <c r="H18" s="345">
        <v>0</v>
      </c>
      <c r="P18" s="188">
        <f t="shared" si="0"/>
        <v>0</v>
      </c>
    </row>
    <row r="19" spans="1:16">
      <c r="A19" s="275">
        <v>176</v>
      </c>
      <c r="B19" s="8" t="s">
        <v>1358</v>
      </c>
      <c r="C19" s="8" t="s">
        <v>1358</v>
      </c>
      <c r="D19" s="8" t="s">
        <v>1358</v>
      </c>
      <c r="E19" s="213" t="s">
        <v>2041</v>
      </c>
      <c r="F19" s="278" t="s">
        <v>2009</v>
      </c>
      <c r="G19" s="8" t="s">
        <v>1358</v>
      </c>
      <c r="H19" s="325">
        <v>0</v>
      </c>
      <c r="P19" s="188">
        <f t="shared" si="0"/>
        <v>0</v>
      </c>
    </row>
    <row r="20" spans="1:16">
      <c r="A20" s="277">
        <v>512</v>
      </c>
      <c r="B20" s="218" t="s">
        <v>2010</v>
      </c>
      <c r="C20" s="218" t="s">
        <v>2013</v>
      </c>
      <c r="D20" s="218">
        <v>381199225</v>
      </c>
      <c r="E20" s="210" t="s">
        <v>2042</v>
      </c>
      <c r="F20" s="261" t="s">
        <v>2009</v>
      </c>
      <c r="G20" s="8">
        <v>65996326335</v>
      </c>
      <c r="H20" s="365">
        <v>18.989999999999998</v>
      </c>
      <c r="I20">
        <v>18.989999999999998</v>
      </c>
      <c r="P20" s="188">
        <f t="shared" si="0"/>
        <v>18.989999999999998</v>
      </c>
    </row>
    <row r="21" spans="1:16">
      <c r="A21" s="275">
        <v>180</v>
      </c>
      <c r="B21" s="210" t="s">
        <v>1358</v>
      </c>
      <c r="C21" s="210" t="s">
        <v>1358</v>
      </c>
      <c r="D21" s="210" t="s">
        <v>1358</v>
      </c>
      <c r="E21" s="213"/>
      <c r="F21" s="278" t="s">
        <v>2009</v>
      </c>
      <c r="G21" s="210" t="s">
        <v>1358</v>
      </c>
      <c r="H21" s="345">
        <v>0</v>
      </c>
      <c r="P21" s="188">
        <f t="shared" si="0"/>
        <v>0</v>
      </c>
    </row>
    <row r="22" spans="1:16">
      <c r="A22" s="275">
        <v>196</v>
      </c>
      <c r="B22" s="8" t="s">
        <v>1358</v>
      </c>
      <c r="C22" s="8" t="s">
        <v>1358</v>
      </c>
      <c r="D22" s="8" t="s">
        <v>1358</v>
      </c>
      <c r="E22" s="213"/>
      <c r="F22" s="278" t="s">
        <v>2009</v>
      </c>
      <c r="G22" s="8" t="s">
        <v>1358</v>
      </c>
      <c r="H22" s="325">
        <v>0</v>
      </c>
      <c r="P22" s="188">
        <f t="shared" si="0"/>
        <v>0</v>
      </c>
    </row>
    <row r="23" spans="1:16" ht="60">
      <c r="A23" s="277">
        <v>514</v>
      </c>
      <c r="B23" s="261" t="s">
        <v>2010</v>
      </c>
      <c r="C23" s="261" t="s">
        <v>2013</v>
      </c>
      <c r="D23" s="261">
        <v>381199225</v>
      </c>
      <c r="E23" s="210" t="s">
        <v>2043</v>
      </c>
      <c r="F23" s="261" t="s">
        <v>2009</v>
      </c>
      <c r="G23" s="276" t="s">
        <v>2044</v>
      </c>
      <c r="H23" s="303" t="s">
        <v>2045</v>
      </c>
      <c r="I23">
        <v>18.989999999999998</v>
      </c>
      <c r="J23">
        <v>31.99</v>
      </c>
      <c r="P23" s="188">
        <f t="shared" si="0"/>
        <v>50.98</v>
      </c>
    </row>
    <row r="24" spans="1:16">
      <c r="A24" s="275">
        <v>510</v>
      </c>
      <c r="B24" s="210" t="s">
        <v>1358</v>
      </c>
      <c r="C24" s="210" t="s">
        <v>1358</v>
      </c>
      <c r="D24" s="210" t="s">
        <v>1358</v>
      </c>
      <c r="E24" s="213" t="s">
        <v>2046</v>
      </c>
      <c r="F24" s="278" t="s">
        <v>2009</v>
      </c>
      <c r="G24" s="210" t="s">
        <v>1358</v>
      </c>
      <c r="H24" s="345">
        <v>0</v>
      </c>
      <c r="P24" s="188">
        <f t="shared" si="0"/>
        <v>0</v>
      </c>
    </row>
    <row r="25" spans="1:16" ht="120">
      <c r="A25" s="281">
        <v>517</v>
      </c>
      <c r="B25" s="311" t="s">
        <v>2010</v>
      </c>
      <c r="C25" s="311" t="s">
        <v>2013</v>
      </c>
      <c r="D25" s="311">
        <v>381199225</v>
      </c>
      <c r="E25" s="213" t="s">
        <v>2047</v>
      </c>
      <c r="F25" s="278" t="s">
        <v>2009</v>
      </c>
      <c r="G25" s="313" t="s">
        <v>2048</v>
      </c>
      <c r="H25" s="346" t="s">
        <v>2049</v>
      </c>
      <c r="I25">
        <v>18.989999999999998</v>
      </c>
      <c r="J25">
        <v>18.989999999999998</v>
      </c>
      <c r="K25">
        <v>18.989999999999998</v>
      </c>
      <c r="L25">
        <v>18.989999999999998</v>
      </c>
      <c r="P25" s="188">
        <f t="shared" si="0"/>
        <v>75.959999999999994</v>
      </c>
    </row>
    <row r="26" spans="1:16" ht="120">
      <c r="A26" s="275">
        <v>519</v>
      </c>
      <c r="B26" s="278" t="s">
        <v>2024</v>
      </c>
      <c r="C26" s="278" t="s">
        <v>2025</v>
      </c>
      <c r="D26" s="278">
        <v>167840395</v>
      </c>
      <c r="E26" s="281" t="s">
        <v>2050</v>
      </c>
      <c r="F26" s="278" t="s">
        <v>2009</v>
      </c>
      <c r="G26" s="280" t="s">
        <v>2051</v>
      </c>
      <c r="H26" s="303" t="s">
        <v>2052</v>
      </c>
      <c r="I26">
        <v>40.47</v>
      </c>
      <c r="J26">
        <v>40.47</v>
      </c>
      <c r="K26">
        <v>40.47</v>
      </c>
      <c r="L26">
        <v>40.47</v>
      </c>
      <c r="P26" s="188">
        <f t="shared" si="0"/>
        <v>161.88</v>
      </c>
    </row>
    <row r="27" spans="1:16">
      <c r="A27" s="277">
        <v>515</v>
      </c>
      <c r="B27" s="8" t="s">
        <v>1358</v>
      </c>
      <c r="C27" s="8" t="s">
        <v>1358</v>
      </c>
      <c r="D27" s="8" t="s">
        <v>1358</v>
      </c>
      <c r="E27" s="210" t="s">
        <v>2053</v>
      </c>
      <c r="F27" s="278" t="s">
        <v>2009</v>
      </c>
      <c r="G27" s="8" t="s">
        <v>1358</v>
      </c>
      <c r="H27" s="325">
        <v>0</v>
      </c>
      <c r="P27" s="188">
        <f t="shared" si="0"/>
        <v>0</v>
      </c>
    </row>
    <row r="28" spans="1:16" ht="120">
      <c r="A28" s="275">
        <v>529</v>
      </c>
      <c r="B28" s="278" t="s">
        <v>2024</v>
      </c>
      <c r="C28" s="278" t="s">
        <v>2025</v>
      </c>
      <c r="D28" s="278">
        <v>167858424</v>
      </c>
      <c r="E28" s="281" t="s">
        <v>2054</v>
      </c>
      <c r="F28" s="278" t="s">
        <v>2009</v>
      </c>
      <c r="G28" s="280" t="s">
        <v>2055</v>
      </c>
      <c r="H28" s="303" t="s">
        <v>2056</v>
      </c>
      <c r="I28">
        <v>32.19</v>
      </c>
      <c r="J28">
        <v>32.19</v>
      </c>
      <c r="K28">
        <v>32.19</v>
      </c>
      <c r="L28">
        <v>157.79</v>
      </c>
      <c r="P28" s="188">
        <f t="shared" si="0"/>
        <v>254.35999999999999</v>
      </c>
    </row>
    <row r="29" spans="1:16">
      <c r="A29" s="275">
        <v>518</v>
      </c>
      <c r="B29" s="8" t="s">
        <v>1358</v>
      </c>
      <c r="C29" s="8" t="s">
        <v>1358</v>
      </c>
      <c r="D29" s="8" t="s">
        <v>1358</v>
      </c>
      <c r="E29" s="213"/>
      <c r="F29" s="278" t="s">
        <v>2009</v>
      </c>
      <c r="G29" s="8" t="s">
        <v>1358</v>
      </c>
      <c r="H29" s="325">
        <v>0</v>
      </c>
      <c r="P29" s="188">
        <f t="shared" si="0"/>
        <v>0</v>
      </c>
    </row>
    <row r="30" spans="1:16">
      <c r="A30" s="275">
        <v>531</v>
      </c>
      <c r="B30" s="311" t="s">
        <v>2024</v>
      </c>
      <c r="C30" s="311" t="s">
        <v>2025</v>
      </c>
      <c r="D30" s="311">
        <v>105638675</v>
      </c>
      <c r="E30" s="281" t="s">
        <v>2057</v>
      </c>
      <c r="F30" s="278" t="s">
        <v>2009</v>
      </c>
      <c r="G30" s="311">
        <v>31992430060</v>
      </c>
      <c r="H30" s="314">
        <v>52.28</v>
      </c>
      <c r="I30">
        <v>52.28</v>
      </c>
      <c r="P30" s="188">
        <f t="shared" si="0"/>
        <v>52.28</v>
      </c>
    </row>
    <row r="31" spans="1:16">
      <c r="A31" s="275">
        <v>520</v>
      </c>
      <c r="B31" s="8" t="s">
        <v>1358</v>
      </c>
      <c r="C31" s="8" t="s">
        <v>1358</v>
      </c>
      <c r="D31" s="8" t="s">
        <v>1358</v>
      </c>
      <c r="E31" s="281"/>
      <c r="F31" s="278" t="s">
        <v>2009</v>
      </c>
      <c r="G31" s="8" t="s">
        <v>1358</v>
      </c>
      <c r="H31" s="325">
        <v>0</v>
      </c>
      <c r="P31" s="188">
        <f t="shared" si="0"/>
        <v>0</v>
      </c>
    </row>
    <row r="32" spans="1:16">
      <c r="A32" s="275">
        <v>525</v>
      </c>
      <c r="B32" s="8" t="s">
        <v>1358</v>
      </c>
      <c r="C32" s="8" t="s">
        <v>1358</v>
      </c>
      <c r="D32" s="8" t="s">
        <v>1358</v>
      </c>
      <c r="E32" s="281"/>
      <c r="F32" s="278" t="s">
        <v>2009</v>
      </c>
      <c r="G32" s="8" t="s">
        <v>1358</v>
      </c>
      <c r="H32" s="325">
        <v>0</v>
      </c>
      <c r="P32" s="188">
        <f t="shared" si="0"/>
        <v>0</v>
      </c>
    </row>
    <row r="33" spans="1:16">
      <c r="A33" s="275">
        <v>526</v>
      </c>
      <c r="B33" s="210" t="s">
        <v>1358</v>
      </c>
      <c r="C33" s="210" t="s">
        <v>1358</v>
      </c>
      <c r="D33" s="210" t="s">
        <v>1358</v>
      </c>
      <c r="E33" s="281"/>
      <c r="F33" s="278" t="s">
        <v>2009</v>
      </c>
      <c r="G33" s="210" t="s">
        <v>1358</v>
      </c>
      <c r="H33" s="345">
        <v>0</v>
      </c>
      <c r="P33" s="188">
        <f t="shared" si="0"/>
        <v>0</v>
      </c>
    </row>
    <row r="34" spans="1:16">
      <c r="A34" s="275">
        <v>527</v>
      </c>
      <c r="B34" s="210" t="s">
        <v>1358</v>
      </c>
      <c r="C34" s="210" t="s">
        <v>1358</v>
      </c>
      <c r="D34" s="210" t="s">
        <v>1358</v>
      </c>
      <c r="E34" s="281"/>
      <c r="F34" s="278" t="s">
        <v>2009</v>
      </c>
      <c r="G34" s="210" t="s">
        <v>1358</v>
      </c>
      <c r="H34" s="345">
        <v>0</v>
      </c>
      <c r="P34" s="188">
        <f t="shared" si="0"/>
        <v>0</v>
      </c>
    </row>
    <row r="35" spans="1:16" ht="120">
      <c r="A35" s="275">
        <v>536</v>
      </c>
      <c r="B35" s="361" t="s">
        <v>2058</v>
      </c>
      <c r="C35" s="361" t="s">
        <v>2059</v>
      </c>
      <c r="D35" s="361" t="s">
        <v>2060</v>
      </c>
      <c r="E35" s="281" t="s">
        <v>2061</v>
      </c>
      <c r="F35" s="278" t="s">
        <v>2009</v>
      </c>
      <c r="G35" s="313" t="s">
        <v>2062</v>
      </c>
      <c r="H35" s="346" t="s">
        <v>2063</v>
      </c>
      <c r="I35">
        <v>50.59</v>
      </c>
      <c r="J35">
        <v>50.59</v>
      </c>
      <c r="K35">
        <v>50.59</v>
      </c>
      <c r="L35">
        <v>18.989999999999998</v>
      </c>
      <c r="P35" s="188">
        <f t="shared" si="0"/>
        <v>170.76000000000002</v>
      </c>
    </row>
    <row r="36" spans="1:16">
      <c r="A36" s="274">
        <v>543</v>
      </c>
      <c r="B36" s="218" t="s">
        <v>2010</v>
      </c>
      <c r="C36" s="218" t="s">
        <v>2013</v>
      </c>
      <c r="D36" s="218">
        <v>381199225</v>
      </c>
      <c r="E36" s="274" t="s">
        <v>2064</v>
      </c>
      <c r="F36" s="261" t="s">
        <v>2009</v>
      </c>
      <c r="G36" s="8">
        <v>21967265450</v>
      </c>
      <c r="H36" s="314">
        <v>18.989999999999998</v>
      </c>
      <c r="I36">
        <v>18.989999999999998</v>
      </c>
      <c r="P36" s="188">
        <f t="shared" si="0"/>
        <v>18.989999999999998</v>
      </c>
    </row>
    <row r="37" spans="1:16">
      <c r="A37" s="275">
        <v>534</v>
      </c>
      <c r="B37" s="210" t="s">
        <v>1358</v>
      </c>
      <c r="C37" s="210" t="s">
        <v>1358</v>
      </c>
      <c r="D37" s="210" t="s">
        <v>1358</v>
      </c>
      <c r="E37" s="281"/>
      <c r="F37" s="278" t="s">
        <v>2009</v>
      </c>
      <c r="G37" s="210" t="s">
        <v>1358</v>
      </c>
      <c r="H37" s="345">
        <v>0</v>
      </c>
      <c r="P37" s="188">
        <f t="shared" si="0"/>
        <v>0</v>
      </c>
    </row>
    <row r="38" spans="1:16">
      <c r="A38" s="275">
        <v>535</v>
      </c>
      <c r="B38" s="210" t="s">
        <v>1358</v>
      </c>
      <c r="C38" s="210" t="s">
        <v>1358</v>
      </c>
      <c r="D38" s="210" t="s">
        <v>1358</v>
      </c>
      <c r="E38" s="281"/>
      <c r="F38" s="278" t="s">
        <v>2009</v>
      </c>
      <c r="G38" s="210" t="s">
        <v>1358</v>
      </c>
      <c r="H38" s="345">
        <v>0</v>
      </c>
      <c r="P38" s="188">
        <f t="shared" si="0"/>
        <v>0</v>
      </c>
    </row>
    <row r="39" spans="1:16">
      <c r="A39" s="277">
        <v>544</v>
      </c>
      <c r="B39" s="261" t="s">
        <v>2024</v>
      </c>
      <c r="C39" s="261" t="s">
        <v>2025</v>
      </c>
      <c r="D39" s="261">
        <v>832140239</v>
      </c>
      <c r="E39" s="274" t="s">
        <v>2065</v>
      </c>
      <c r="F39" s="261" t="s">
        <v>2009</v>
      </c>
      <c r="G39" s="210">
        <v>11913072083</v>
      </c>
      <c r="H39" s="305">
        <v>49.480000000000004</v>
      </c>
      <c r="I39">
        <v>49.48</v>
      </c>
      <c r="P39" s="188">
        <f t="shared" si="0"/>
        <v>49.48</v>
      </c>
    </row>
    <row r="40" spans="1:16">
      <c r="A40" s="274">
        <v>546</v>
      </c>
      <c r="B40" s="261" t="s">
        <v>2010</v>
      </c>
      <c r="C40" s="261" t="s">
        <v>2013</v>
      </c>
      <c r="D40" s="261">
        <v>381199225</v>
      </c>
      <c r="E40" s="210" t="s">
        <v>2066</v>
      </c>
      <c r="F40" s="261" t="s">
        <v>2009</v>
      </c>
      <c r="G40" s="210">
        <v>11963974721</v>
      </c>
      <c r="H40" s="305">
        <v>18.989999999999998</v>
      </c>
      <c r="I40">
        <v>18.989999999999998</v>
      </c>
      <c r="P40" s="188">
        <f t="shared" si="0"/>
        <v>18.989999999999998</v>
      </c>
    </row>
    <row r="41" spans="1:16" ht="60">
      <c r="A41" s="281">
        <v>558</v>
      </c>
      <c r="B41" s="311" t="s">
        <v>2024</v>
      </c>
      <c r="C41" s="311" t="s">
        <v>2025</v>
      </c>
      <c r="D41" s="311">
        <v>167736275</v>
      </c>
      <c r="E41" s="281" t="s">
        <v>2067</v>
      </c>
      <c r="F41" s="278" t="s">
        <v>2009</v>
      </c>
      <c r="G41" s="361" t="s">
        <v>2068</v>
      </c>
      <c r="H41" s="346" t="s">
        <v>2069</v>
      </c>
      <c r="I41">
        <v>39.78</v>
      </c>
      <c r="J41">
        <v>39.78</v>
      </c>
      <c r="P41" s="188">
        <f t="shared" si="0"/>
        <v>79.56</v>
      </c>
    </row>
    <row r="42" spans="1:16">
      <c r="A42" s="281">
        <v>559</v>
      </c>
      <c r="B42" s="311" t="s">
        <v>1358</v>
      </c>
      <c r="C42" s="311" t="s">
        <v>1358</v>
      </c>
      <c r="D42" s="311" t="s">
        <v>1358</v>
      </c>
      <c r="E42" s="210" t="s">
        <v>2070</v>
      </c>
      <c r="F42" s="278" t="s">
        <v>2009</v>
      </c>
      <c r="G42" s="361" t="s">
        <v>2071</v>
      </c>
      <c r="H42" s="346" t="s">
        <v>2071</v>
      </c>
      <c r="P42" s="188">
        <f t="shared" si="0"/>
        <v>0</v>
      </c>
    </row>
    <row r="43" spans="1:16">
      <c r="A43" s="277">
        <v>547</v>
      </c>
      <c r="B43" s="8" t="s">
        <v>1358</v>
      </c>
      <c r="C43" s="8" t="s">
        <v>1358</v>
      </c>
      <c r="D43" s="8" t="s">
        <v>1358</v>
      </c>
      <c r="E43" s="210"/>
      <c r="F43" s="278" t="s">
        <v>2009</v>
      </c>
      <c r="G43" s="8" t="s">
        <v>1358</v>
      </c>
      <c r="H43" s="325">
        <v>0</v>
      </c>
      <c r="P43" s="188">
        <f t="shared" si="0"/>
        <v>0</v>
      </c>
    </row>
    <row r="44" spans="1:16">
      <c r="A44" s="277">
        <v>548</v>
      </c>
      <c r="B44" s="8" t="s">
        <v>1358</v>
      </c>
      <c r="C44" s="8" t="s">
        <v>1358</v>
      </c>
      <c r="D44" s="8" t="s">
        <v>1358</v>
      </c>
      <c r="E44" s="210"/>
      <c r="F44" s="278" t="s">
        <v>2009</v>
      </c>
      <c r="G44" s="8" t="s">
        <v>1358</v>
      </c>
      <c r="H44" s="325">
        <v>0</v>
      </c>
      <c r="P44" s="188">
        <f t="shared" si="0"/>
        <v>0</v>
      </c>
    </row>
    <row r="45" spans="1:16">
      <c r="A45" s="277">
        <v>549</v>
      </c>
      <c r="B45" s="8" t="s">
        <v>1358</v>
      </c>
      <c r="C45" s="8" t="s">
        <v>1358</v>
      </c>
      <c r="D45" s="8" t="s">
        <v>1358</v>
      </c>
      <c r="E45" s="210"/>
      <c r="F45" s="278" t="s">
        <v>2009</v>
      </c>
      <c r="G45" s="8" t="s">
        <v>1358</v>
      </c>
      <c r="H45" s="325">
        <v>0</v>
      </c>
      <c r="P45" s="188">
        <f t="shared" si="0"/>
        <v>0</v>
      </c>
    </row>
    <row r="46" spans="1:16">
      <c r="A46" s="277">
        <v>550</v>
      </c>
      <c r="B46" s="210" t="s">
        <v>1358</v>
      </c>
      <c r="C46" s="210" t="s">
        <v>1358</v>
      </c>
      <c r="D46" s="210" t="s">
        <v>1358</v>
      </c>
      <c r="E46" s="210"/>
      <c r="F46" s="278" t="s">
        <v>2009</v>
      </c>
      <c r="G46" s="210" t="s">
        <v>1358</v>
      </c>
      <c r="H46" s="345">
        <v>0</v>
      </c>
      <c r="P46" s="188">
        <f t="shared" si="0"/>
        <v>0</v>
      </c>
    </row>
    <row r="47" spans="1:16">
      <c r="A47" s="277">
        <v>553</v>
      </c>
      <c r="B47" s="210" t="s">
        <v>1358</v>
      </c>
      <c r="C47" s="210" t="s">
        <v>1358</v>
      </c>
      <c r="D47" s="210" t="s">
        <v>1358</v>
      </c>
      <c r="E47" s="210"/>
      <c r="F47" s="278" t="s">
        <v>2009</v>
      </c>
      <c r="G47" s="210" t="s">
        <v>1358</v>
      </c>
      <c r="H47" s="345">
        <v>0</v>
      </c>
      <c r="P47" s="188">
        <f t="shared" si="0"/>
        <v>0</v>
      </c>
    </row>
    <row r="48" spans="1:16" ht="150">
      <c r="A48" s="275">
        <v>560</v>
      </c>
      <c r="B48" s="278" t="s">
        <v>2010</v>
      </c>
      <c r="C48" s="278" t="s">
        <v>2013</v>
      </c>
      <c r="D48" s="278">
        <v>2027121479</v>
      </c>
      <c r="E48" s="213" t="s">
        <v>2072</v>
      </c>
      <c r="F48" s="278" t="s">
        <v>2009</v>
      </c>
      <c r="G48" s="276" t="s">
        <v>2073</v>
      </c>
      <c r="H48" s="303" t="s">
        <v>2074</v>
      </c>
      <c r="I48">
        <v>19.25</v>
      </c>
      <c r="J48">
        <v>30.5</v>
      </c>
      <c r="K48">
        <v>18.989999999999998</v>
      </c>
      <c r="L48">
        <v>18.989999999999998</v>
      </c>
      <c r="M48">
        <v>18.989999999999998</v>
      </c>
      <c r="P48" s="188">
        <f t="shared" si="0"/>
        <v>106.71999999999998</v>
      </c>
    </row>
    <row r="49" spans="1:16">
      <c r="A49" s="277">
        <v>563</v>
      </c>
      <c r="B49" s="261" t="s">
        <v>1358</v>
      </c>
      <c r="C49" s="261" t="s">
        <v>2025</v>
      </c>
      <c r="D49" s="261">
        <v>832140239</v>
      </c>
      <c r="E49" s="274" t="s">
        <v>2075</v>
      </c>
      <c r="F49" s="261" t="s">
        <v>2009</v>
      </c>
      <c r="G49" s="210" t="s">
        <v>1358</v>
      </c>
      <c r="H49" s="305" t="s">
        <v>1358</v>
      </c>
      <c r="P49" s="188"/>
    </row>
    <row r="50" spans="1:16" ht="120">
      <c r="A50" s="277">
        <v>565</v>
      </c>
      <c r="B50" s="218" t="s">
        <v>2024</v>
      </c>
      <c r="C50" s="218" t="s">
        <v>2025</v>
      </c>
      <c r="D50" s="218">
        <v>167889704</v>
      </c>
      <c r="E50" s="274" t="s">
        <v>2076</v>
      </c>
      <c r="F50" s="261" t="s">
        <v>2009</v>
      </c>
      <c r="G50" s="361" t="s">
        <v>2077</v>
      </c>
      <c r="H50" s="346" t="s">
        <v>2078</v>
      </c>
      <c r="I50">
        <v>40.1</v>
      </c>
      <c r="J50">
        <v>40.1</v>
      </c>
      <c r="K50">
        <v>40.1</v>
      </c>
      <c r="L50">
        <v>40.1</v>
      </c>
      <c r="P50" s="188">
        <f t="shared" ref="P50:P81" si="1">SUM(I50:O50)</f>
        <v>160.4</v>
      </c>
    </row>
    <row r="51" spans="1:16" ht="60">
      <c r="A51" s="281">
        <v>571</v>
      </c>
      <c r="B51" s="278" t="s">
        <v>2010</v>
      </c>
      <c r="C51" s="278" t="s">
        <v>2013</v>
      </c>
      <c r="D51" s="278">
        <v>381199225</v>
      </c>
      <c r="E51" s="213" t="s">
        <v>2079</v>
      </c>
      <c r="F51" s="278" t="s">
        <v>2009</v>
      </c>
      <c r="G51" s="276" t="s">
        <v>2080</v>
      </c>
      <c r="H51" s="303" t="s">
        <v>2034</v>
      </c>
      <c r="I51">
        <v>18.989999999999998</v>
      </c>
      <c r="J51">
        <v>18.989999999999998</v>
      </c>
      <c r="P51" s="188">
        <f t="shared" si="1"/>
        <v>37.979999999999997</v>
      </c>
    </row>
    <row r="52" spans="1:16">
      <c r="A52" s="277">
        <v>564</v>
      </c>
      <c r="B52" s="8" t="s">
        <v>1358</v>
      </c>
      <c r="C52" s="8" t="s">
        <v>1358</v>
      </c>
      <c r="D52" s="8" t="s">
        <v>1358</v>
      </c>
      <c r="E52" s="274"/>
      <c r="F52" s="278" t="s">
        <v>2009</v>
      </c>
      <c r="G52" s="8" t="s">
        <v>1358</v>
      </c>
      <c r="H52" s="325">
        <v>0</v>
      </c>
      <c r="P52" s="188">
        <f t="shared" si="1"/>
        <v>0</v>
      </c>
    </row>
    <row r="53" spans="1:16" ht="120">
      <c r="A53" s="275">
        <v>575</v>
      </c>
      <c r="B53" s="311" t="s">
        <v>2024</v>
      </c>
      <c r="C53" s="311" t="s">
        <v>2025</v>
      </c>
      <c r="D53" s="311">
        <v>167796232</v>
      </c>
      <c r="E53" s="281" t="s">
        <v>2081</v>
      </c>
      <c r="F53" s="278" t="s">
        <v>2009</v>
      </c>
      <c r="G53" s="361" t="s">
        <v>2082</v>
      </c>
      <c r="H53" s="346" t="s">
        <v>2083</v>
      </c>
      <c r="I53">
        <v>27.3</v>
      </c>
      <c r="J53">
        <v>27.3</v>
      </c>
      <c r="K53">
        <v>27.3</v>
      </c>
      <c r="L53">
        <v>27.3</v>
      </c>
      <c r="P53" s="188">
        <f t="shared" si="1"/>
        <v>109.2</v>
      </c>
    </row>
    <row r="54" spans="1:16">
      <c r="A54" s="277">
        <v>566</v>
      </c>
      <c r="B54" s="210" t="s">
        <v>1358</v>
      </c>
      <c r="C54" s="210" t="s">
        <v>1358</v>
      </c>
      <c r="D54" s="210" t="s">
        <v>1358</v>
      </c>
      <c r="E54" s="274"/>
      <c r="F54" s="278" t="s">
        <v>2009</v>
      </c>
      <c r="G54" s="210" t="s">
        <v>1358</v>
      </c>
      <c r="H54" s="345">
        <v>0</v>
      </c>
      <c r="P54" s="188">
        <f t="shared" si="1"/>
        <v>0</v>
      </c>
    </row>
    <row r="55" spans="1:16">
      <c r="A55" s="277">
        <v>568</v>
      </c>
      <c r="B55" s="8" t="s">
        <v>1358</v>
      </c>
      <c r="C55" s="8" t="s">
        <v>1358</v>
      </c>
      <c r="D55" s="8" t="s">
        <v>1358</v>
      </c>
      <c r="E55" s="274"/>
      <c r="F55" s="278" t="s">
        <v>2009</v>
      </c>
      <c r="G55" s="8" t="s">
        <v>1358</v>
      </c>
      <c r="H55" s="325">
        <v>0</v>
      </c>
      <c r="P55" s="188">
        <f t="shared" si="1"/>
        <v>0</v>
      </c>
    </row>
    <row r="56" spans="1:16" ht="60">
      <c r="A56" s="275">
        <v>578</v>
      </c>
      <c r="B56" s="278" t="s">
        <v>2024</v>
      </c>
      <c r="C56" s="278" t="s">
        <v>2025</v>
      </c>
      <c r="D56" s="278">
        <v>167858424</v>
      </c>
      <c r="E56" s="281" t="s">
        <v>2084</v>
      </c>
      <c r="F56" s="278" t="s">
        <v>2009</v>
      </c>
      <c r="G56" s="280" t="s">
        <v>2085</v>
      </c>
      <c r="H56" s="303" t="s">
        <v>2086</v>
      </c>
      <c r="I56">
        <v>19.440000000000001</v>
      </c>
      <c r="J56">
        <v>19.440000000000001</v>
      </c>
      <c r="P56" s="188">
        <f t="shared" si="1"/>
        <v>38.880000000000003</v>
      </c>
    </row>
    <row r="57" spans="1:16">
      <c r="A57" s="275">
        <v>573</v>
      </c>
      <c r="B57" s="8" t="s">
        <v>1358</v>
      </c>
      <c r="C57" s="8" t="s">
        <v>1358</v>
      </c>
      <c r="D57" s="8" t="s">
        <v>1358</v>
      </c>
      <c r="E57" s="213"/>
      <c r="F57" s="278" t="s">
        <v>2009</v>
      </c>
      <c r="G57" s="8" t="s">
        <v>1358</v>
      </c>
      <c r="H57" s="325">
        <v>0</v>
      </c>
      <c r="P57" s="188">
        <f t="shared" si="1"/>
        <v>0</v>
      </c>
    </row>
    <row r="58" spans="1:16" ht="90">
      <c r="A58" s="275">
        <v>583</v>
      </c>
      <c r="B58" s="311" t="s">
        <v>2010</v>
      </c>
      <c r="C58" s="311" t="s">
        <v>2013</v>
      </c>
      <c r="D58" s="311">
        <v>381199225</v>
      </c>
      <c r="E58" s="281" t="s">
        <v>2087</v>
      </c>
      <c r="F58" s="278" t="s">
        <v>2009</v>
      </c>
      <c r="G58" s="313" t="s">
        <v>2088</v>
      </c>
      <c r="H58" s="346" t="s">
        <v>2089</v>
      </c>
      <c r="I58">
        <v>18.989999999999998</v>
      </c>
      <c r="J58">
        <v>18.989999999999998</v>
      </c>
      <c r="K58">
        <v>18.989999999999998</v>
      </c>
      <c r="P58" s="188">
        <f t="shared" si="1"/>
        <v>56.97</v>
      </c>
    </row>
    <row r="59" spans="1:16">
      <c r="A59" s="275">
        <v>576</v>
      </c>
      <c r="B59" s="210" t="s">
        <v>1358</v>
      </c>
      <c r="C59" s="210" t="s">
        <v>1358</v>
      </c>
      <c r="D59" s="210" t="s">
        <v>1358</v>
      </c>
      <c r="E59" s="281"/>
      <c r="F59" s="278" t="s">
        <v>2009</v>
      </c>
      <c r="G59" s="210" t="s">
        <v>1358</v>
      </c>
      <c r="H59" s="345">
        <v>0</v>
      </c>
      <c r="P59" s="188">
        <f t="shared" si="1"/>
        <v>0</v>
      </c>
    </row>
    <row r="60" spans="1:16">
      <c r="A60" s="275">
        <v>577</v>
      </c>
      <c r="B60" s="8" t="s">
        <v>1358</v>
      </c>
      <c r="C60" s="8" t="s">
        <v>1358</v>
      </c>
      <c r="D60" s="8" t="s">
        <v>1358</v>
      </c>
      <c r="E60" s="281"/>
      <c r="F60" s="278" t="s">
        <v>2009</v>
      </c>
      <c r="G60" s="8" t="s">
        <v>1358</v>
      </c>
      <c r="H60" s="325">
        <v>0</v>
      </c>
      <c r="P60" s="188">
        <f t="shared" si="1"/>
        <v>0</v>
      </c>
    </row>
    <row r="61" spans="1:16">
      <c r="A61" s="277">
        <v>589</v>
      </c>
      <c r="B61" s="218" t="s">
        <v>2010</v>
      </c>
      <c r="C61" s="218" t="s">
        <v>2013</v>
      </c>
      <c r="D61" s="218">
        <v>381199225</v>
      </c>
      <c r="E61" s="210" t="s">
        <v>2090</v>
      </c>
      <c r="F61" s="261" t="s">
        <v>2009</v>
      </c>
      <c r="G61" s="8">
        <v>75997068800</v>
      </c>
      <c r="H61" s="365">
        <v>18.989999999999998</v>
      </c>
      <c r="I61">
        <v>18.989999999999998</v>
      </c>
      <c r="P61" s="188">
        <f t="shared" si="1"/>
        <v>18.989999999999998</v>
      </c>
    </row>
    <row r="62" spans="1:16">
      <c r="A62" s="275">
        <v>579</v>
      </c>
      <c r="B62" s="8" t="s">
        <v>1358</v>
      </c>
      <c r="C62" s="8" t="s">
        <v>1358</v>
      </c>
      <c r="D62" s="8" t="s">
        <v>1358</v>
      </c>
      <c r="E62" s="281"/>
      <c r="F62" s="278" t="s">
        <v>2009</v>
      </c>
      <c r="G62" s="8" t="s">
        <v>1358</v>
      </c>
      <c r="H62" s="325">
        <v>0</v>
      </c>
      <c r="P62" s="188">
        <f t="shared" si="1"/>
        <v>0</v>
      </c>
    </row>
    <row r="63" spans="1:16">
      <c r="A63" s="275">
        <v>580</v>
      </c>
      <c r="B63" s="210" t="s">
        <v>1358</v>
      </c>
      <c r="C63" s="210" t="s">
        <v>1358</v>
      </c>
      <c r="D63" s="210" t="s">
        <v>1358</v>
      </c>
      <c r="E63" s="281"/>
      <c r="F63" s="278" t="s">
        <v>2009</v>
      </c>
      <c r="G63" s="210" t="s">
        <v>1358</v>
      </c>
      <c r="H63" s="345">
        <v>0</v>
      </c>
      <c r="P63" s="188">
        <f t="shared" si="1"/>
        <v>0</v>
      </c>
    </row>
    <row r="64" spans="1:16">
      <c r="A64" s="275">
        <v>582</v>
      </c>
      <c r="B64" s="8" t="s">
        <v>1358</v>
      </c>
      <c r="C64" s="8" t="s">
        <v>1358</v>
      </c>
      <c r="D64" s="8" t="s">
        <v>1358</v>
      </c>
      <c r="E64" s="281"/>
      <c r="F64" s="278" t="s">
        <v>2009</v>
      </c>
      <c r="G64" s="8" t="s">
        <v>1358</v>
      </c>
      <c r="H64" s="325">
        <v>0</v>
      </c>
      <c r="P64" s="188">
        <f t="shared" si="1"/>
        <v>0</v>
      </c>
    </row>
    <row r="65" spans="1:16">
      <c r="A65" s="277">
        <v>590</v>
      </c>
      <c r="B65" s="261" t="s">
        <v>2010</v>
      </c>
      <c r="C65" s="261" t="s">
        <v>2013</v>
      </c>
      <c r="D65" s="261">
        <v>381199225</v>
      </c>
      <c r="E65" s="210" t="s">
        <v>2091</v>
      </c>
      <c r="F65" s="261" t="s">
        <v>2009</v>
      </c>
      <c r="G65" s="210">
        <v>75997069124</v>
      </c>
      <c r="H65" s="304">
        <v>18.989999999999998</v>
      </c>
      <c r="I65">
        <v>18.989999999999998</v>
      </c>
      <c r="P65" s="188">
        <f t="shared" si="1"/>
        <v>18.989999999999998</v>
      </c>
    </row>
    <row r="66" spans="1:16">
      <c r="A66" s="275">
        <v>586</v>
      </c>
      <c r="B66" s="210" t="s">
        <v>1358</v>
      </c>
      <c r="C66" s="210" t="s">
        <v>1358</v>
      </c>
      <c r="D66" s="210" t="s">
        <v>1358</v>
      </c>
      <c r="E66" s="281"/>
      <c r="F66" s="278" t="s">
        <v>2009</v>
      </c>
      <c r="G66" s="210" t="s">
        <v>1358</v>
      </c>
      <c r="H66" s="345">
        <v>0</v>
      </c>
      <c r="P66" s="188">
        <f t="shared" si="1"/>
        <v>0</v>
      </c>
    </row>
    <row r="67" spans="1:16" ht="120">
      <c r="A67" s="281">
        <v>594</v>
      </c>
      <c r="B67" s="278" t="s">
        <v>2024</v>
      </c>
      <c r="C67" s="278" t="s">
        <v>2025</v>
      </c>
      <c r="D67" s="278">
        <v>167799322</v>
      </c>
      <c r="E67" s="281" t="s">
        <v>2092</v>
      </c>
      <c r="F67" s="278" t="s">
        <v>2009</v>
      </c>
      <c r="G67" s="280" t="s">
        <v>2093</v>
      </c>
      <c r="H67" s="303" t="s">
        <v>2094</v>
      </c>
      <c r="I67">
        <v>39.78</v>
      </c>
      <c r="J67">
        <v>39.78</v>
      </c>
      <c r="K67">
        <v>39.78</v>
      </c>
      <c r="L67">
        <v>39.78</v>
      </c>
      <c r="P67" s="188">
        <f t="shared" si="1"/>
        <v>159.12</v>
      </c>
    </row>
    <row r="68" spans="1:16" ht="90">
      <c r="A68" s="281">
        <v>598</v>
      </c>
      <c r="B68" s="311" t="s">
        <v>2024</v>
      </c>
      <c r="C68" s="311" t="s">
        <v>2025</v>
      </c>
      <c r="D68" s="311">
        <v>167834423</v>
      </c>
      <c r="E68" s="281" t="s">
        <v>2095</v>
      </c>
      <c r="F68" s="278" t="s">
        <v>2009</v>
      </c>
      <c r="G68" s="361" t="s">
        <v>2096</v>
      </c>
      <c r="H68" s="346" t="s">
        <v>2097</v>
      </c>
      <c r="I68">
        <v>38.119999999999997</v>
      </c>
      <c r="J68">
        <v>30.5</v>
      </c>
      <c r="K68">
        <v>18.989999999999998</v>
      </c>
      <c r="P68" s="188">
        <f t="shared" si="1"/>
        <v>87.61</v>
      </c>
    </row>
    <row r="69" spans="1:16" ht="90">
      <c r="A69" s="275">
        <v>600</v>
      </c>
      <c r="B69" s="278" t="s">
        <v>2024</v>
      </c>
      <c r="C69" s="278" t="s">
        <v>2025</v>
      </c>
      <c r="D69" s="278">
        <v>167861798</v>
      </c>
      <c r="E69" s="281" t="s">
        <v>2098</v>
      </c>
      <c r="F69" s="278" t="s">
        <v>2009</v>
      </c>
      <c r="G69" s="280" t="s">
        <v>2099</v>
      </c>
      <c r="H69" s="303" t="s">
        <v>2100</v>
      </c>
      <c r="I69">
        <v>10.01</v>
      </c>
      <c r="J69">
        <v>10.01</v>
      </c>
      <c r="K69">
        <v>10.01</v>
      </c>
      <c r="P69" s="188">
        <f t="shared" si="1"/>
        <v>30.03</v>
      </c>
    </row>
    <row r="70" spans="1:16">
      <c r="A70" s="275">
        <v>597</v>
      </c>
      <c r="B70" s="8" t="s">
        <v>1358</v>
      </c>
      <c r="C70" s="8" t="s">
        <v>1358</v>
      </c>
      <c r="D70" s="8" t="s">
        <v>1358</v>
      </c>
      <c r="E70" s="281"/>
      <c r="F70" s="278" t="s">
        <v>2009</v>
      </c>
      <c r="G70" s="8" t="s">
        <v>1358</v>
      </c>
      <c r="H70" s="325">
        <v>0</v>
      </c>
      <c r="P70" s="188">
        <f t="shared" si="1"/>
        <v>0</v>
      </c>
    </row>
    <row r="71" spans="1:16">
      <c r="A71" s="277">
        <v>601</v>
      </c>
      <c r="B71" s="261" t="s">
        <v>2010</v>
      </c>
      <c r="C71" s="261" t="s">
        <v>2013</v>
      </c>
      <c r="D71" s="261">
        <v>381199225</v>
      </c>
      <c r="E71" s="274" t="s">
        <v>2101</v>
      </c>
      <c r="F71" s="261" t="s">
        <v>2009</v>
      </c>
      <c r="G71" s="210">
        <v>81981908266</v>
      </c>
      <c r="H71" s="305">
        <v>18.989999999999998</v>
      </c>
      <c r="I71">
        <v>18.989999999999998</v>
      </c>
      <c r="P71" s="188">
        <f t="shared" si="1"/>
        <v>18.989999999999998</v>
      </c>
    </row>
    <row r="72" spans="1:16">
      <c r="A72" s="275">
        <v>599</v>
      </c>
      <c r="B72" s="210" t="s">
        <v>1358</v>
      </c>
      <c r="C72" s="210" t="s">
        <v>1358</v>
      </c>
      <c r="D72" s="210" t="s">
        <v>1358</v>
      </c>
      <c r="E72" s="281"/>
      <c r="F72" s="278" t="s">
        <v>2009</v>
      </c>
      <c r="G72" s="210" t="s">
        <v>1358</v>
      </c>
      <c r="H72" s="345">
        <v>0</v>
      </c>
      <c r="P72" s="188">
        <f t="shared" si="1"/>
        <v>0</v>
      </c>
    </row>
    <row r="73" spans="1:16">
      <c r="A73" s="277">
        <v>604</v>
      </c>
      <c r="B73" s="261" t="s">
        <v>2010</v>
      </c>
      <c r="C73" s="261" t="s">
        <v>2013</v>
      </c>
      <c r="D73" s="261">
        <v>381199225</v>
      </c>
      <c r="E73" s="210" t="s">
        <v>2102</v>
      </c>
      <c r="F73" s="261" t="s">
        <v>2009</v>
      </c>
      <c r="G73" s="210">
        <v>71999321473</v>
      </c>
      <c r="H73" s="305">
        <v>18.989999999999998</v>
      </c>
      <c r="I73">
        <v>18.989999999999998</v>
      </c>
      <c r="P73" s="188">
        <f t="shared" si="1"/>
        <v>18.989999999999998</v>
      </c>
    </row>
    <row r="74" spans="1:16" ht="90">
      <c r="A74" s="281">
        <v>605</v>
      </c>
      <c r="B74" s="278" t="s">
        <v>2010</v>
      </c>
      <c r="C74" s="278" t="s">
        <v>2013</v>
      </c>
      <c r="D74" s="278">
        <v>381199225</v>
      </c>
      <c r="E74" s="213" t="s">
        <v>2103</v>
      </c>
      <c r="F74" s="278" t="s">
        <v>2009</v>
      </c>
      <c r="G74" s="276" t="s">
        <v>2104</v>
      </c>
      <c r="H74" s="303" t="s">
        <v>2089</v>
      </c>
      <c r="I74">
        <v>18.989999999999998</v>
      </c>
      <c r="J74">
        <v>18.989999999999998</v>
      </c>
      <c r="K74">
        <v>18.989999999999998</v>
      </c>
      <c r="P74" s="188">
        <f t="shared" si="1"/>
        <v>56.97</v>
      </c>
    </row>
    <row r="75" spans="1:16">
      <c r="A75" s="274">
        <v>607</v>
      </c>
      <c r="B75" s="218" t="s">
        <v>2024</v>
      </c>
      <c r="C75" s="218" t="s">
        <v>2025</v>
      </c>
      <c r="D75" s="218">
        <v>797293511</v>
      </c>
      <c r="E75" s="210" t="s">
        <v>2105</v>
      </c>
      <c r="F75" s="261" t="s">
        <v>2009</v>
      </c>
      <c r="G75" s="8">
        <v>11988936521</v>
      </c>
      <c r="H75" s="314">
        <v>143.79000000000002</v>
      </c>
      <c r="I75">
        <v>143.79</v>
      </c>
      <c r="P75" s="188">
        <f t="shared" si="1"/>
        <v>143.79</v>
      </c>
    </row>
    <row r="76" spans="1:16" ht="60">
      <c r="A76" s="275">
        <v>617</v>
      </c>
      <c r="B76" s="278" t="s">
        <v>2010</v>
      </c>
      <c r="C76" s="278" t="s">
        <v>2013</v>
      </c>
      <c r="D76" s="278">
        <v>381199225</v>
      </c>
      <c r="E76" s="213" t="s">
        <v>2106</v>
      </c>
      <c r="F76" s="278" t="s">
        <v>2009</v>
      </c>
      <c r="G76" s="276" t="s">
        <v>2107</v>
      </c>
      <c r="H76" s="303" t="s">
        <v>2108</v>
      </c>
      <c r="I76">
        <v>18.989999999999998</v>
      </c>
      <c r="J76">
        <v>18.989999999999998</v>
      </c>
      <c r="P76" s="188">
        <f t="shared" si="1"/>
        <v>37.979999999999997</v>
      </c>
    </row>
    <row r="77" spans="1:16">
      <c r="A77" s="275">
        <v>606</v>
      </c>
      <c r="B77" s="8" t="s">
        <v>1358</v>
      </c>
      <c r="C77" s="8" t="s">
        <v>1358</v>
      </c>
      <c r="D77" s="8" t="s">
        <v>1358</v>
      </c>
      <c r="E77" s="213"/>
      <c r="F77" s="278" t="s">
        <v>2009</v>
      </c>
      <c r="G77" s="8" t="s">
        <v>1358</v>
      </c>
      <c r="H77" s="325">
        <v>0</v>
      </c>
      <c r="P77" s="188">
        <f t="shared" si="1"/>
        <v>0</v>
      </c>
    </row>
    <row r="78" spans="1:16">
      <c r="A78" s="274">
        <v>618</v>
      </c>
      <c r="B78" s="218" t="s">
        <v>2010</v>
      </c>
      <c r="C78" s="218" t="s">
        <v>2013</v>
      </c>
      <c r="D78" s="218">
        <v>381199225</v>
      </c>
      <c r="E78" s="210" t="s">
        <v>2109</v>
      </c>
      <c r="F78" s="261" t="s">
        <v>2009</v>
      </c>
      <c r="G78" s="8">
        <v>82981644453</v>
      </c>
      <c r="H78" s="314">
        <v>18.989999999999998</v>
      </c>
      <c r="I78">
        <v>18.989999999999998</v>
      </c>
      <c r="P78" s="188">
        <f t="shared" si="1"/>
        <v>18.989999999999998</v>
      </c>
    </row>
    <row r="79" spans="1:16">
      <c r="A79" s="277">
        <v>608</v>
      </c>
      <c r="B79" s="8" t="s">
        <v>1358</v>
      </c>
      <c r="C79" s="8" t="s">
        <v>1358</v>
      </c>
      <c r="D79" s="8" t="s">
        <v>1358</v>
      </c>
      <c r="E79" s="210"/>
      <c r="F79" s="278" t="s">
        <v>2009</v>
      </c>
      <c r="G79" s="8" t="s">
        <v>1358</v>
      </c>
      <c r="H79" s="325">
        <v>0</v>
      </c>
      <c r="P79" s="188">
        <f t="shared" si="1"/>
        <v>0</v>
      </c>
    </row>
    <row r="80" spans="1:16">
      <c r="A80" s="277">
        <v>610</v>
      </c>
      <c r="B80" s="210" t="s">
        <v>1358</v>
      </c>
      <c r="C80" s="210" t="s">
        <v>1358</v>
      </c>
      <c r="D80" s="210" t="s">
        <v>1358</v>
      </c>
      <c r="E80" s="210"/>
      <c r="F80" s="278" t="s">
        <v>2009</v>
      </c>
      <c r="G80" s="210" t="s">
        <v>1358</v>
      </c>
      <c r="H80" s="345">
        <v>0</v>
      </c>
      <c r="P80" s="188">
        <f t="shared" si="1"/>
        <v>0</v>
      </c>
    </row>
    <row r="81" spans="1:16">
      <c r="A81" s="277">
        <v>613</v>
      </c>
      <c r="B81" s="210" t="s">
        <v>1358</v>
      </c>
      <c r="C81" s="210" t="s">
        <v>1358</v>
      </c>
      <c r="D81" s="210" t="s">
        <v>1358</v>
      </c>
      <c r="E81" s="210"/>
      <c r="F81" s="278" t="s">
        <v>2009</v>
      </c>
      <c r="G81" s="210" t="s">
        <v>1358</v>
      </c>
      <c r="H81" s="345">
        <v>0</v>
      </c>
      <c r="P81" s="188">
        <f t="shared" si="1"/>
        <v>0</v>
      </c>
    </row>
    <row r="82" spans="1:16" ht="210">
      <c r="A82" s="275">
        <v>625</v>
      </c>
      <c r="B82" s="362" t="s">
        <v>2110</v>
      </c>
      <c r="C82" s="362" t="s">
        <v>2111</v>
      </c>
      <c r="D82" s="311">
        <v>167836949</v>
      </c>
      <c r="E82" s="281" t="s">
        <v>2112</v>
      </c>
      <c r="F82" s="278" t="s">
        <v>2009</v>
      </c>
      <c r="G82" s="362" t="s">
        <v>2113</v>
      </c>
      <c r="H82" s="346" t="s">
        <v>2114</v>
      </c>
      <c r="I82">
        <v>38.49</v>
      </c>
      <c r="J82">
        <v>38.49</v>
      </c>
      <c r="K82">
        <v>38.49</v>
      </c>
      <c r="L82">
        <v>38.49</v>
      </c>
      <c r="M82">
        <v>38.49</v>
      </c>
      <c r="N82">
        <v>143.79</v>
      </c>
      <c r="O82">
        <v>18.989999999999998</v>
      </c>
      <c r="P82" s="188">
        <f t="shared" ref="P82:P113" si="2">SUM(I82:O82)</f>
        <v>355.23</v>
      </c>
    </row>
    <row r="83" spans="1:16">
      <c r="A83" s="274">
        <v>627</v>
      </c>
      <c r="B83" s="218" t="s">
        <v>2010</v>
      </c>
      <c r="C83" s="218" t="s">
        <v>2011</v>
      </c>
      <c r="D83" s="218">
        <v>2027121479</v>
      </c>
      <c r="E83" s="210" t="s">
        <v>2115</v>
      </c>
      <c r="F83" s="261" t="s">
        <v>2009</v>
      </c>
      <c r="G83" s="8">
        <v>11942025033</v>
      </c>
      <c r="H83" s="314">
        <v>104.05</v>
      </c>
      <c r="I83" s="284">
        <v>104.05</v>
      </c>
      <c r="P83" s="188">
        <f t="shared" si="2"/>
        <v>104.05</v>
      </c>
    </row>
    <row r="84" spans="1:16">
      <c r="A84" s="277">
        <v>619</v>
      </c>
      <c r="B84" s="8" t="s">
        <v>1358</v>
      </c>
      <c r="C84" s="8" t="s">
        <v>1358</v>
      </c>
      <c r="D84" s="8" t="s">
        <v>1358</v>
      </c>
      <c r="E84" s="210"/>
      <c r="F84" s="278" t="s">
        <v>2009</v>
      </c>
      <c r="G84" s="8" t="s">
        <v>1358</v>
      </c>
      <c r="H84" s="325">
        <v>0</v>
      </c>
      <c r="P84" s="188">
        <f t="shared" si="2"/>
        <v>0</v>
      </c>
    </row>
    <row r="85" spans="1:16">
      <c r="A85" s="277">
        <v>622</v>
      </c>
      <c r="B85" s="8" t="s">
        <v>1358</v>
      </c>
      <c r="C85" s="8" t="s">
        <v>1358</v>
      </c>
      <c r="D85" s="8" t="s">
        <v>1358</v>
      </c>
      <c r="E85" s="210"/>
      <c r="F85" s="278" t="s">
        <v>2009</v>
      </c>
      <c r="G85" s="8" t="s">
        <v>1358</v>
      </c>
      <c r="H85" s="325">
        <v>0</v>
      </c>
      <c r="P85" s="188">
        <f t="shared" si="2"/>
        <v>0</v>
      </c>
    </row>
    <row r="86" spans="1:16">
      <c r="A86" s="277">
        <v>623</v>
      </c>
      <c r="B86" s="210" t="s">
        <v>1358</v>
      </c>
      <c r="C86" s="210" t="s">
        <v>1358</v>
      </c>
      <c r="D86" s="210" t="s">
        <v>1358</v>
      </c>
      <c r="E86" s="210"/>
      <c r="F86" s="278" t="s">
        <v>2009</v>
      </c>
      <c r="G86" s="210" t="s">
        <v>1358</v>
      </c>
      <c r="H86" s="345">
        <v>0</v>
      </c>
      <c r="P86" s="188">
        <f t="shared" si="2"/>
        <v>0</v>
      </c>
    </row>
    <row r="87" spans="1:16">
      <c r="A87" s="277">
        <v>624</v>
      </c>
      <c r="B87" s="8" t="s">
        <v>1358</v>
      </c>
      <c r="C87" s="8" t="s">
        <v>1358</v>
      </c>
      <c r="D87" s="8" t="s">
        <v>1358</v>
      </c>
      <c r="E87" s="210"/>
      <c r="F87" s="278" t="s">
        <v>2009</v>
      </c>
      <c r="G87" s="8" t="s">
        <v>1358</v>
      </c>
      <c r="H87" s="325">
        <v>0</v>
      </c>
      <c r="P87" s="188">
        <f t="shared" si="2"/>
        <v>0</v>
      </c>
    </row>
    <row r="88" spans="1:16">
      <c r="A88" s="277">
        <v>629</v>
      </c>
      <c r="B88" s="261" t="s">
        <v>2010</v>
      </c>
      <c r="C88" s="261" t="s">
        <v>2013</v>
      </c>
      <c r="D88" s="261">
        <v>381199225</v>
      </c>
      <c r="E88" s="210" t="s">
        <v>2116</v>
      </c>
      <c r="F88" s="261" t="s">
        <v>2009</v>
      </c>
      <c r="G88" s="210">
        <v>48991021138</v>
      </c>
      <c r="H88" s="306">
        <v>18.989999999999998</v>
      </c>
      <c r="I88" s="285">
        <v>18.989999999999998</v>
      </c>
      <c r="P88" s="188">
        <f t="shared" si="2"/>
        <v>18.989999999999998</v>
      </c>
    </row>
    <row r="89" spans="1:16" s="265" customFormat="1">
      <c r="A89" s="326">
        <v>626</v>
      </c>
      <c r="B89" s="210" t="s">
        <v>1358</v>
      </c>
      <c r="C89" s="210" t="s">
        <v>1358</v>
      </c>
      <c r="D89" s="210" t="s">
        <v>1358</v>
      </c>
      <c r="E89" s="327"/>
      <c r="F89" s="278" t="s">
        <v>2009</v>
      </c>
      <c r="G89" s="210" t="s">
        <v>1358</v>
      </c>
      <c r="H89" s="345">
        <v>0</v>
      </c>
      <c r="P89" s="188">
        <f t="shared" si="2"/>
        <v>0</v>
      </c>
    </row>
    <row r="90" spans="1:16" ht="45">
      <c r="A90" s="281">
        <v>635</v>
      </c>
      <c r="B90" s="311" t="s">
        <v>2010</v>
      </c>
      <c r="C90" s="311" t="s">
        <v>2017</v>
      </c>
      <c r="D90" s="311">
        <v>381199225</v>
      </c>
      <c r="E90" s="213" t="s">
        <v>2117</v>
      </c>
      <c r="F90" s="278" t="s">
        <v>2009</v>
      </c>
      <c r="G90" s="313" t="s">
        <v>2118</v>
      </c>
      <c r="H90" s="366" t="s">
        <v>2119</v>
      </c>
      <c r="I90">
        <v>30.5</v>
      </c>
      <c r="J90">
        <v>30.5</v>
      </c>
      <c r="K90">
        <v>18.989999999999998</v>
      </c>
      <c r="P90" s="188">
        <f t="shared" si="2"/>
        <v>79.989999999999995</v>
      </c>
    </row>
    <row r="91" spans="1:16" ht="30">
      <c r="A91" s="281">
        <v>639</v>
      </c>
      <c r="B91" s="311" t="s">
        <v>2010</v>
      </c>
      <c r="C91" s="311" t="s">
        <v>2013</v>
      </c>
      <c r="D91" s="311">
        <v>2027121479</v>
      </c>
      <c r="E91" s="281" t="s">
        <v>2120</v>
      </c>
      <c r="F91" s="278" t="s">
        <v>2009</v>
      </c>
      <c r="G91" s="313" t="s">
        <v>2121</v>
      </c>
      <c r="H91" s="366" t="s">
        <v>2122</v>
      </c>
      <c r="I91" t="s">
        <v>2123</v>
      </c>
      <c r="J91">
        <v>18.989999999999998</v>
      </c>
      <c r="P91" s="188">
        <f t="shared" si="2"/>
        <v>18.989999999999998</v>
      </c>
    </row>
    <row r="92" spans="1:16">
      <c r="A92" s="277">
        <v>631</v>
      </c>
      <c r="B92" s="8" t="s">
        <v>1358</v>
      </c>
      <c r="C92" s="8" t="s">
        <v>1358</v>
      </c>
      <c r="D92" s="8" t="s">
        <v>1358</v>
      </c>
      <c r="E92" s="210"/>
      <c r="F92" s="278" t="s">
        <v>2009</v>
      </c>
      <c r="G92" s="8" t="s">
        <v>1358</v>
      </c>
      <c r="H92" s="325">
        <v>0</v>
      </c>
      <c r="I92" s="328"/>
      <c r="P92" s="188">
        <f t="shared" si="2"/>
        <v>0</v>
      </c>
    </row>
    <row r="93" spans="1:16">
      <c r="A93" s="277">
        <v>632</v>
      </c>
      <c r="B93" s="210" t="s">
        <v>1358</v>
      </c>
      <c r="C93" s="210" t="s">
        <v>1358</v>
      </c>
      <c r="D93" s="210" t="s">
        <v>1358</v>
      </c>
      <c r="E93" s="210"/>
      <c r="F93" s="278" t="s">
        <v>2009</v>
      </c>
      <c r="G93" s="210" t="s">
        <v>1358</v>
      </c>
      <c r="H93" s="345">
        <v>0</v>
      </c>
      <c r="I93" s="328"/>
      <c r="P93" s="188">
        <f t="shared" si="2"/>
        <v>0</v>
      </c>
    </row>
    <row r="94" spans="1:16">
      <c r="A94" s="277">
        <v>633</v>
      </c>
      <c r="B94" s="8" t="s">
        <v>1358</v>
      </c>
      <c r="C94" s="8" t="s">
        <v>1358</v>
      </c>
      <c r="D94" s="8" t="s">
        <v>1358</v>
      </c>
      <c r="E94" s="210"/>
      <c r="F94" s="278" t="s">
        <v>2009</v>
      </c>
      <c r="G94" s="8" t="s">
        <v>1358</v>
      </c>
      <c r="H94" s="325">
        <v>0</v>
      </c>
      <c r="I94" s="328"/>
      <c r="P94" s="188">
        <f t="shared" si="2"/>
        <v>0</v>
      </c>
    </row>
    <row r="95" spans="1:16">
      <c r="A95" s="277">
        <v>650</v>
      </c>
      <c r="B95" s="261" t="s">
        <v>2010</v>
      </c>
      <c r="C95" s="261" t="s">
        <v>2011</v>
      </c>
      <c r="D95" s="261">
        <v>2027121479</v>
      </c>
      <c r="E95" s="210" t="s">
        <v>2124</v>
      </c>
      <c r="F95" s="261" t="s">
        <v>2009</v>
      </c>
      <c r="G95" s="210">
        <v>11942876965</v>
      </c>
      <c r="H95" s="307">
        <v>104.05</v>
      </c>
      <c r="I95">
        <v>104.05</v>
      </c>
      <c r="P95" s="188">
        <f t="shared" si="2"/>
        <v>104.05</v>
      </c>
    </row>
    <row r="96" spans="1:16">
      <c r="A96" s="275">
        <v>636</v>
      </c>
      <c r="B96" s="8" t="s">
        <v>1358</v>
      </c>
      <c r="C96" s="8" t="s">
        <v>1358</v>
      </c>
      <c r="D96" s="8" t="s">
        <v>1358</v>
      </c>
      <c r="E96" s="213"/>
      <c r="F96" s="278" t="s">
        <v>2009</v>
      </c>
      <c r="G96" s="8" t="s">
        <v>1358</v>
      </c>
      <c r="H96" s="325">
        <v>0</v>
      </c>
      <c r="P96" s="188">
        <f t="shared" si="2"/>
        <v>0</v>
      </c>
    </row>
    <row r="97" spans="1:16">
      <c r="A97" s="277">
        <v>651</v>
      </c>
      <c r="B97" s="218" t="s">
        <v>2010</v>
      </c>
      <c r="C97" s="218" t="s">
        <v>2013</v>
      </c>
      <c r="D97" s="218">
        <v>381199225</v>
      </c>
      <c r="E97" s="210" t="s">
        <v>2125</v>
      </c>
      <c r="F97" s="261" t="s">
        <v>2009</v>
      </c>
      <c r="G97" s="8">
        <v>73999287137</v>
      </c>
      <c r="H97" s="338">
        <v>18.989999999999998</v>
      </c>
      <c r="I97">
        <v>18.989999999999998</v>
      </c>
      <c r="P97" s="188">
        <f t="shared" si="2"/>
        <v>18.989999999999998</v>
      </c>
    </row>
    <row r="98" spans="1:16">
      <c r="A98" s="275">
        <v>640</v>
      </c>
      <c r="B98" s="8" t="s">
        <v>1358</v>
      </c>
      <c r="C98" s="8" t="s">
        <v>1358</v>
      </c>
      <c r="D98" s="8" t="s">
        <v>1358</v>
      </c>
      <c r="E98" s="281"/>
      <c r="F98" s="278" t="s">
        <v>2009</v>
      </c>
      <c r="G98" s="8" t="s">
        <v>1358</v>
      </c>
      <c r="H98" s="325">
        <v>0</v>
      </c>
      <c r="P98" s="188">
        <f t="shared" si="2"/>
        <v>0</v>
      </c>
    </row>
    <row r="99" spans="1:16">
      <c r="A99" s="275">
        <v>641</v>
      </c>
      <c r="B99" s="8" t="s">
        <v>1358</v>
      </c>
      <c r="C99" s="8" t="s">
        <v>1358</v>
      </c>
      <c r="D99" s="8" t="s">
        <v>1358</v>
      </c>
      <c r="E99" s="281"/>
      <c r="F99" s="278" t="s">
        <v>2009</v>
      </c>
      <c r="G99" s="8" t="s">
        <v>1358</v>
      </c>
      <c r="H99" s="325">
        <v>0</v>
      </c>
      <c r="P99" s="188">
        <f t="shared" si="2"/>
        <v>0</v>
      </c>
    </row>
    <row r="100" spans="1:16">
      <c r="A100" s="275">
        <v>642</v>
      </c>
      <c r="B100" s="8" t="s">
        <v>1358</v>
      </c>
      <c r="C100" s="8" t="s">
        <v>1358</v>
      </c>
      <c r="D100" s="8" t="s">
        <v>1358</v>
      </c>
      <c r="E100" s="281"/>
      <c r="F100" s="278" t="s">
        <v>2009</v>
      </c>
      <c r="G100" s="8" t="s">
        <v>1358</v>
      </c>
      <c r="H100" s="325">
        <v>0</v>
      </c>
      <c r="P100" s="188">
        <f t="shared" si="2"/>
        <v>0</v>
      </c>
    </row>
    <row r="101" spans="1:16">
      <c r="A101" s="275">
        <v>643</v>
      </c>
      <c r="B101" s="8" t="s">
        <v>1358</v>
      </c>
      <c r="C101" s="8" t="s">
        <v>1358</v>
      </c>
      <c r="D101" s="8" t="s">
        <v>1358</v>
      </c>
      <c r="E101" s="281"/>
      <c r="F101" s="278" t="s">
        <v>2009</v>
      </c>
      <c r="G101" s="8" t="s">
        <v>1358</v>
      </c>
      <c r="H101" s="325">
        <v>0</v>
      </c>
      <c r="P101" s="188">
        <f t="shared" si="2"/>
        <v>0</v>
      </c>
    </row>
    <row r="102" spans="1:16">
      <c r="A102" s="275">
        <v>645</v>
      </c>
      <c r="B102" s="8" t="s">
        <v>1358</v>
      </c>
      <c r="C102" s="8" t="s">
        <v>1358</v>
      </c>
      <c r="D102" s="8" t="s">
        <v>1358</v>
      </c>
      <c r="E102" s="281"/>
      <c r="F102" s="278" t="s">
        <v>2009</v>
      </c>
      <c r="G102" s="8" t="s">
        <v>1358</v>
      </c>
      <c r="H102" s="325">
        <v>0</v>
      </c>
      <c r="P102" s="188">
        <f t="shared" si="2"/>
        <v>0</v>
      </c>
    </row>
    <row r="103" spans="1:16">
      <c r="A103" s="275">
        <v>646</v>
      </c>
      <c r="B103" s="8" t="s">
        <v>1358</v>
      </c>
      <c r="C103" s="8" t="s">
        <v>1358</v>
      </c>
      <c r="D103" s="8" t="s">
        <v>1358</v>
      </c>
      <c r="E103" s="281"/>
      <c r="F103" s="278" t="s">
        <v>2009</v>
      </c>
      <c r="G103" s="8" t="s">
        <v>1358</v>
      </c>
      <c r="H103" s="325">
        <v>0</v>
      </c>
      <c r="P103" s="188">
        <f t="shared" si="2"/>
        <v>0</v>
      </c>
    </row>
    <row r="104" spans="1:16">
      <c r="A104" s="275">
        <v>647</v>
      </c>
      <c r="B104" s="8" t="s">
        <v>1358</v>
      </c>
      <c r="C104" s="8" t="s">
        <v>1358</v>
      </c>
      <c r="D104" s="8" t="s">
        <v>1358</v>
      </c>
      <c r="E104" s="281"/>
      <c r="F104" s="278" t="s">
        <v>2009</v>
      </c>
      <c r="G104" s="8" t="s">
        <v>1358</v>
      </c>
      <c r="H104" s="325">
        <v>0</v>
      </c>
      <c r="P104" s="188">
        <f t="shared" si="2"/>
        <v>0</v>
      </c>
    </row>
    <row r="105" spans="1:16">
      <c r="A105" s="275">
        <v>648</v>
      </c>
      <c r="B105" s="210" t="s">
        <v>1358</v>
      </c>
      <c r="C105" s="210" t="s">
        <v>1358</v>
      </c>
      <c r="D105" s="210" t="s">
        <v>1358</v>
      </c>
      <c r="E105" s="281"/>
      <c r="F105" s="278" t="s">
        <v>2009</v>
      </c>
      <c r="G105" s="210" t="s">
        <v>1358</v>
      </c>
      <c r="H105" s="345">
        <v>0</v>
      </c>
      <c r="P105" s="188">
        <f t="shared" si="2"/>
        <v>0</v>
      </c>
    </row>
    <row r="106" spans="1:16">
      <c r="A106" s="275">
        <v>649</v>
      </c>
      <c r="B106" s="210" t="s">
        <v>1358</v>
      </c>
      <c r="C106" s="210" t="s">
        <v>1358</v>
      </c>
      <c r="D106" s="210" t="s">
        <v>1358</v>
      </c>
      <c r="E106" s="281"/>
      <c r="F106" s="278" t="s">
        <v>2009</v>
      </c>
      <c r="G106" s="210" t="s">
        <v>1358</v>
      </c>
      <c r="H106" s="345">
        <v>0</v>
      </c>
      <c r="P106" s="188">
        <f t="shared" si="2"/>
        <v>0</v>
      </c>
    </row>
    <row r="107" spans="1:16">
      <c r="A107" s="274">
        <v>653</v>
      </c>
      <c r="B107" s="218" t="s">
        <v>2010</v>
      </c>
      <c r="C107" s="218" t="s">
        <v>2013</v>
      </c>
      <c r="D107" s="218">
        <v>381199225</v>
      </c>
      <c r="E107" s="210" t="s">
        <v>2126</v>
      </c>
      <c r="F107" s="261" t="s">
        <v>2009</v>
      </c>
      <c r="G107" s="8">
        <v>85982077945</v>
      </c>
      <c r="H107" s="338">
        <v>18.989999999999998</v>
      </c>
      <c r="I107">
        <v>18.989999999999998</v>
      </c>
      <c r="P107" s="188">
        <f t="shared" si="2"/>
        <v>18.989999999999998</v>
      </c>
    </row>
    <row r="108" spans="1:16" ht="30">
      <c r="A108" s="281">
        <v>657</v>
      </c>
      <c r="B108" s="280" t="s">
        <v>2127</v>
      </c>
      <c r="C108" s="280" t="s">
        <v>2128</v>
      </c>
      <c r="D108" s="278">
        <v>381199225</v>
      </c>
      <c r="E108" s="213" t="s">
        <v>2129</v>
      </c>
      <c r="F108" s="278" t="s">
        <v>2009</v>
      </c>
      <c r="G108" s="276" t="s">
        <v>2130</v>
      </c>
      <c r="H108" s="294" t="s">
        <v>2131</v>
      </c>
      <c r="P108" s="188">
        <f t="shared" si="2"/>
        <v>0</v>
      </c>
    </row>
    <row r="109" spans="1:16">
      <c r="A109" s="274">
        <v>652</v>
      </c>
      <c r="B109" s="8" t="s">
        <v>1358</v>
      </c>
      <c r="C109" s="8" t="s">
        <v>1358</v>
      </c>
      <c r="D109" s="8" t="s">
        <v>1358</v>
      </c>
      <c r="E109" s="210"/>
      <c r="F109" s="278" t="s">
        <v>2009</v>
      </c>
      <c r="G109" s="8" t="s">
        <v>1358</v>
      </c>
      <c r="H109" s="325">
        <v>0</v>
      </c>
      <c r="P109" s="188">
        <f t="shared" si="2"/>
        <v>0</v>
      </c>
    </row>
    <row r="110" spans="1:16" ht="45">
      <c r="A110" s="281">
        <v>659</v>
      </c>
      <c r="B110" s="311" t="s">
        <v>2010</v>
      </c>
      <c r="C110" s="311" t="s">
        <v>2013</v>
      </c>
      <c r="D110" s="311">
        <v>381199225</v>
      </c>
      <c r="E110" s="213" t="s">
        <v>2132</v>
      </c>
      <c r="F110" s="278" t="s">
        <v>2009</v>
      </c>
      <c r="G110" s="313" t="s">
        <v>2133</v>
      </c>
      <c r="H110" s="366" t="s">
        <v>2134</v>
      </c>
      <c r="P110" s="188">
        <f t="shared" si="2"/>
        <v>0</v>
      </c>
    </row>
    <row r="111" spans="1:16">
      <c r="A111" s="277">
        <v>654</v>
      </c>
      <c r="B111" s="210" t="s">
        <v>1358</v>
      </c>
      <c r="C111" s="210" t="s">
        <v>1358</v>
      </c>
      <c r="D111" s="210" t="s">
        <v>1358</v>
      </c>
      <c r="E111" s="210"/>
      <c r="F111" s="278" t="s">
        <v>2009</v>
      </c>
      <c r="G111" s="210" t="s">
        <v>1358</v>
      </c>
      <c r="H111" s="345">
        <v>0</v>
      </c>
      <c r="P111" s="188">
        <f t="shared" si="2"/>
        <v>0</v>
      </c>
    </row>
    <row r="112" spans="1:16">
      <c r="A112" s="277">
        <v>656</v>
      </c>
      <c r="B112" s="210" t="s">
        <v>1358</v>
      </c>
      <c r="C112" s="210" t="s">
        <v>1358</v>
      </c>
      <c r="D112" s="210" t="s">
        <v>1358</v>
      </c>
      <c r="E112" s="210"/>
      <c r="F112" s="278" t="s">
        <v>2009</v>
      </c>
      <c r="G112" s="210" t="s">
        <v>1358</v>
      </c>
      <c r="H112" s="345">
        <v>0</v>
      </c>
      <c r="P112" s="188">
        <f t="shared" si="2"/>
        <v>0</v>
      </c>
    </row>
    <row r="113" spans="1:16" ht="60">
      <c r="A113" s="275">
        <v>660</v>
      </c>
      <c r="B113" s="287" t="s">
        <v>2135</v>
      </c>
      <c r="C113" s="280" t="s">
        <v>2136</v>
      </c>
      <c r="D113" s="278">
        <v>167735367</v>
      </c>
      <c r="E113" s="281" t="s">
        <v>2137</v>
      </c>
      <c r="F113" s="278" t="s">
        <v>2009</v>
      </c>
      <c r="G113" s="280" t="s">
        <v>2138</v>
      </c>
      <c r="H113" s="294" t="s">
        <v>2139</v>
      </c>
      <c r="I113" s="286">
        <v>38.97</v>
      </c>
      <c r="J113" s="286">
        <v>38.97</v>
      </c>
      <c r="K113" s="286">
        <v>104.05</v>
      </c>
      <c r="L113" s="286">
        <v>18.989999999999998</v>
      </c>
      <c r="P113" s="188">
        <f t="shared" si="2"/>
        <v>200.98000000000002</v>
      </c>
    </row>
    <row r="114" spans="1:16" ht="30">
      <c r="A114" s="326">
        <v>663</v>
      </c>
      <c r="B114" s="362" t="s">
        <v>2024</v>
      </c>
      <c r="C114" s="362" t="s">
        <v>2025</v>
      </c>
      <c r="D114" s="362">
        <v>832140239</v>
      </c>
      <c r="E114" s="327" t="s">
        <v>2140</v>
      </c>
      <c r="F114" s="299" t="s">
        <v>2009</v>
      </c>
      <c r="G114" s="363" t="s">
        <v>2141</v>
      </c>
      <c r="H114" s="366" t="s">
        <v>2142</v>
      </c>
      <c r="I114" s="265">
        <v>62.23</v>
      </c>
      <c r="J114" s="265">
        <v>50.59</v>
      </c>
      <c r="P114" s="188">
        <f t="shared" ref="P114:P145" si="3">SUM(I114:O114)</f>
        <v>112.82</v>
      </c>
    </row>
    <row r="115" spans="1:16" ht="30">
      <c r="A115" s="275">
        <v>664</v>
      </c>
      <c r="B115" s="311" t="s">
        <v>2024</v>
      </c>
      <c r="C115" s="311" t="s">
        <v>2025</v>
      </c>
      <c r="D115" s="311">
        <v>832140239</v>
      </c>
      <c r="E115" s="281" t="s">
        <v>2143</v>
      </c>
      <c r="F115" s="278" t="s">
        <v>2009</v>
      </c>
      <c r="G115" s="363" t="s">
        <v>2144</v>
      </c>
      <c r="H115" s="366" t="s">
        <v>2145</v>
      </c>
      <c r="I115">
        <v>50.59</v>
      </c>
      <c r="J115">
        <v>50.59</v>
      </c>
      <c r="K115" s="286"/>
      <c r="L115" s="286"/>
      <c r="P115" s="188">
        <f t="shared" si="3"/>
        <v>101.18</v>
      </c>
    </row>
    <row r="116" spans="1:16">
      <c r="A116" s="275">
        <v>661</v>
      </c>
      <c r="B116" s="210" t="s">
        <v>1358</v>
      </c>
      <c r="C116" s="210" t="s">
        <v>1358</v>
      </c>
      <c r="D116" s="210" t="s">
        <v>1358</v>
      </c>
      <c r="E116" s="281"/>
      <c r="F116" s="278" t="s">
        <v>2009</v>
      </c>
      <c r="G116" s="210" t="s">
        <v>1358</v>
      </c>
      <c r="H116" s="345">
        <v>0</v>
      </c>
      <c r="I116" s="329"/>
      <c r="J116" s="329"/>
      <c r="K116" s="329"/>
      <c r="L116" s="329"/>
      <c r="P116" s="188">
        <f t="shared" si="3"/>
        <v>0</v>
      </c>
    </row>
    <row r="117" spans="1:16">
      <c r="A117" s="275">
        <v>662</v>
      </c>
      <c r="B117" s="210" t="s">
        <v>1358</v>
      </c>
      <c r="C117" s="210" t="s">
        <v>1358</v>
      </c>
      <c r="D117" s="210" t="s">
        <v>1358</v>
      </c>
      <c r="E117" s="281"/>
      <c r="F117" s="278" t="s">
        <v>2009</v>
      </c>
      <c r="G117" s="210" t="s">
        <v>1358</v>
      </c>
      <c r="H117" s="345">
        <v>0</v>
      </c>
      <c r="I117" s="329"/>
      <c r="J117" s="329"/>
      <c r="K117" s="329"/>
      <c r="L117" s="329"/>
      <c r="P117" s="188">
        <f t="shared" si="3"/>
        <v>0</v>
      </c>
    </row>
    <row r="118" spans="1:16" s="265" customFormat="1" ht="30">
      <c r="A118" s="275">
        <v>671</v>
      </c>
      <c r="B118" s="311" t="s">
        <v>2024</v>
      </c>
      <c r="C118" s="311" t="s">
        <v>2025</v>
      </c>
      <c r="D118" s="311">
        <v>832140239</v>
      </c>
      <c r="E118" s="213" t="s">
        <v>2146</v>
      </c>
      <c r="F118" s="278" t="s">
        <v>2009</v>
      </c>
      <c r="G118" s="363" t="s">
        <v>2147</v>
      </c>
      <c r="H118" s="366" t="s">
        <v>2145</v>
      </c>
      <c r="I118">
        <v>50.59</v>
      </c>
      <c r="J118">
        <v>50.59</v>
      </c>
      <c r="P118" s="188">
        <f t="shared" si="3"/>
        <v>101.18</v>
      </c>
    </row>
    <row r="119" spans="1:16" ht="75">
      <c r="A119" s="275">
        <v>675</v>
      </c>
      <c r="B119" s="361" t="s">
        <v>2148</v>
      </c>
      <c r="C119" s="361" t="s">
        <v>2149</v>
      </c>
      <c r="D119" s="311">
        <v>167806773</v>
      </c>
      <c r="E119" s="281" t="s">
        <v>2150</v>
      </c>
      <c r="F119" s="278" t="s">
        <v>2009</v>
      </c>
      <c r="G119" s="361" t="s">
        <v>2151</v>
      </c>
      <c r="H119" s="366" t="s">
        <v>2152</v>
      </c>
      <c r="I119">
        <v>23.8</v>
      </c>
      <c r="J119">
        <v>23.8</v>
      </c>
      <c r="K119">
        <v>23.8</v>
      </c>
      <c r="L119">
        <v>23.8</v>
      </c>
      <c r="M119">
        <v>18.989999999999998</v>
      </c>
      <c r="P119" s="188">
        <f t="shared" si="3"/>
        <v>114.19</v>
      </c>
    </row>
    <row r="120" spans="1:16">
      <c r="A120" s="275">
        <v>665</v>
      </c>
      <c r="B120" s="210" t="s">
        <v>1358</v>
      </c>
      <c r="C120" s="210" t="s">
        <v>1358</v>
      </c>
      <c r="D120" s="210" t="s">
        <v>1358</v>
      </c>
      <c r="E120" s="281"/>
      <c r="F120" s="278" t="s">
        <v>2009</v>
      </c>
      <c r="G120" s="210" t="s">
        <v>1358</v>
      </c>
      <c r="H120" s="345">
        <v>0</v>
      </c>
      <c r="P120" s="188">
        <f t="shared" si="3"/>
        <v>0</v>
      </c>
    </row>
    <row r="121" spans="1:16">
      <c r="A121" s="275">
        <v>667</v>
      </c>
      <c r="B121" s="8" t="s">
        <v>1358</v>
      </c>
      <c r="C121" s="8" t="s">
        <v>1358</v>
      </c>
      <c r="D121" s="8" t="s">
        <v>1358</v>
      </c>
      <c r="E121" s="281"/>
      <c r="F121" s="278" t="s">
        <v>2009</v>
      </c>
      <c r="G121" s="8" t="s">
        <v>1358</v>
      </c>
      <c r="H121" s="325">
        <v>0</v>
      </c>
      <c r="P121" s="188">
        <f t="shared" si="3"/>
        <v>0</v>
      </c>
    </row>
    <row r="122" spans="1:16" ht="30">
      <c r="A122" s="275">
        <v>679</v>
      </c>
      <c r="B122" s="311" t="s">
        <v>2010</v>
      </c>
      <c r="C122" s="311" t="s">
        <v>2013</v>
      </c>
      <c r="D122" s="311">
        <v>381199225</v>
      </c>
      <c r="E122" s="213" t="s">
        <v>2153</v>
      </c>
      <c r="F122" s="278" t="s">
        <v>2009</v>
      </c>
      <c r="G122" s="363" t="s">
        <v>2154</v>
      </c>
      <c r="H122" s="366" t="s">
        <v>2108</v>
      </c>
      <c r="I122">
        <v>18.989999999999998</v>
      </c>
      <c r="J122">
        <v>18.989999999999998</v>
      </c>
      <c r="P122" s="188">
        <f t="shared" si="3"/>
        <v>37.979999999999997</v>
      </c>
    </row>
    <row r="123" spans="1:16">
      <c r="A123" s="275">
        <v>672</v>
      </c>
      <c r="B123" s="210" t="s">
        <v>1358</v>
      </c>
      <c r="C123" s="210" t="s">
        <v>1358</v>
      </c>
      <c r="D123" s="210" t="s">
        <v>1358</v>
      </c>
      <c r="E123" s="213"/>
      <c r="F123" s="278" t="s">
        <v>2009</v>
      </c>
      <c r="G123" s="210" t="s">
        <v>1358</v>
      </c>
      <c r="H123" s="345">
        <v>0</v>
      </c>
      <c r="P123" s="188">
        <f t="shared" si="3"/>
        <v>0</v>
      </c>
    </row>
    <row r="124" spans="1:16">
      <c r="A124" s="275">
        <v>674</v>
      </c>
      <c r="B124" s="8" t="s">
        <v>1358</v>
      </c>
      <c r="C124" s="8" t="s">
        <v>1358</v>
      </c>
      <c r="D124" s="8" t="s">
        <v>1358</v>
      </c>
      <c r="E124" s="213"/>
      <c r="F124" s="278" t="s">
        <v>2009</v>
      </c>
      <c r="G124" s="8" t="s">
        <v>1358</v>
      </c>
      <c r="H124" s="325">
        <v>0</v>
      </c>
      <c r="P124" s="188">
        <f t="shared" si="3"/>
        <v>0</v>
      </c>
    </row>
    <row r="125" spans="1:16" ht="30">
      <c r="A125" s="275">
        <v>680</v>
      </c>
      <c r="B125" s="311" t="s">
        <v>2010</v>
      </c>
      <c r="C125" s="311" t="s">
        <v>2013</v>
      </c>
      <c r="D125" s="311">
        <v>381199225</v>
      </c>
      <c r="E125" s="213" t="s">
        <v>2155</v>
      </c>
      <c r="F125" s="278" t="s">
        <v>2009</v>
      </c>
      <c r="G125" s="363" t="s">
        <v>2156</v>
      </c>
      <c r="H125" s="366" t="s">
        <v>2108</v>
      </c>
      <c r="I125">
        <v>18.989999999999998</v>
      </c>
      <c r="J125">
        <v>18.989999999999998</v>
      </c>
      <c r="P125" s="188">
        <f t="shared" si="3"/>
        <v>37.979999999999997</v>
      </c>
    </row>
    <row r="126" spans="1:16">
      <c r="A126" s="275">
        <v>676</v>
      </c>
      <c r="B126" s="8" t="s">
        <v>1358</v>
      </c>
      <c r="C126" s="8" t="s">
        <v>1358</v>
      </c>
      <c r="D126" s="8" t="s">
        <v>1358</v>
      </c>
      <c r="E126" s="281"/>
      <c r="F126" s="278" t="s">
        <v>2009</v>
      </c>
      <c r="G126" s="8" t="s">
        <v>1358</v>
      </c>
      <c r="H126" s="325">
        <v>0</v>
      </c>
      <c r="P126" s="188">
        <f t="shared" si="3"/>
        <v>0</v>
      </c>
    </row>
    <row r="127" spans="1:16">
      <c r="A127" s="275">
        <v>677</v>
      </c>
      <c r="B127" s="210" t="s">
        <v>1358</v>
      </c>
      <c r="C127" s="210" t="s">
        <v>1358</v>
      </c>
      <c r="D127" s="210" t="s">
        <v>1358</v>
      </c>
      <c r="E127" s="281"/>
      <c r="F127" s="278" t="s">
        <v>2009</v>
      </c>
      <c r="G127" s="210" t="s">
        <v>1358</v>
      </c>
      <c r="H127" s="345">
        <v>0</v>
      </c>
      <c r="P127" s="188">
        <f t="shared" si="3"/>
        <v>0</v>
      </c>
    </row>
    <row r="128" spans="1:16">
      <c r="A128" s="275">
        <v>678</v>
      </c>
      <c r="B128" s="210" t="s">
        <v>1358</v>
      </c>
      <c r="C128" s="210" t="s">
        <v>1358</v>
      </c>
      <c r="D128" s="210" t="s">
        <v>1358</v>
      </c>
      <c r="E128" s="281"/>
      <c r="F128" s="278" t="s">
        <v>2009</v>
      </c>
      <c r="G128" s="210" t="s">
        <v>1358</v>
      </c>
      <c r="H128" s="345">
        <v>0</v>
      </c>
      <c r="P128" s="188">
        <f t="shared" si="3"/>
        <v>0</v>
      </c>
    </row>
    <row r="129" spans="1:16" ht="30">
      <c r="A129" s="275">
        <v>681</v>
      </c>
      <c r="B129" s="278" t="s">
        <v>2024</v>
      </c>
      <c r="C129" s="278" t="s">
        <v>2025</v>
      </c>
      <c r="D129" s="278">
        <v>167735367</v>
      </c>
      <c r="E129" s="281" t="s">
        <v>2157</v>
      </c>
      <c r="F129" s="278" t="s">
        <v>2009</v>
      </c>
      <c r="G129" s="299" t="s">
        <v>2158</v>
      </c>
      <c r="H129" s="294" t="s">
        <v>2159</v>
      </c>
      <c r="I129">
        <v>38.97</v>
      </c>
      <c r="J129">
        <v>38.97</v>
      </c>
      <c r="P129" s="188">
        <f t="shared" si="3"/>
        <v>77.94</v>
      </c>
    </row>
    <row r="130" spans="1:16" ht="60">
      <c r="A130" s="275">
        <v>684</v>
      </c>
      <c r="B130" s="311" t="s">
        <v>2010</v>
      </c>
      <c r="C130" s="311" t="s">
        <v>2013</v>
      </c>
      <c r="D130" s="311">
        <v>381199225</v>
      </c>
      <c r="E130" s="213" t="s">
        <v>2160</v>
      </c>
      <c r="F130" s="278" t="s">
        <v>2009</v>
      </c>
      <c r="G130" s="313" t="s">
        <v>2161</v>
      </c>
      <c r="H130" s="366" t="s">
        <v>2162</v>
      </c>
      <c r="I130">
        <v>18.989999999999998</v>
      </c>
      <c r="J130">
        <v>18.989999999999998</v>
      </c>
      <c r="K130">
        <v>18.989999999999998</v>
      </c>
      <c r="L130">
        <v>18.989999999999998</v>
      </c>
      <c r="P130" s="188">
        <f t="shared" si="3"/>
        <v>75.959999999999994</v>
      </c>
    </row>
    <row r="131" spans="1:16" ht="30">
      <c r="A131" s="275">
        <v>688</v>
      </c>
      <c r="B131" s="278" t="s">
        <v>2024</v>
      </c>
      <c r="C131" s="278" t="s">
        <v>2025</v>
      </c>
      <c r="D131" s="278">
        <v>832140239</v>
      </c>
      <c r="E131" s="213" t="s">
        <v>2163</v>
      </c>
      <c r="F131" s="278" t="s">
        <v>2009</v>
      </c>
      <c r="G131" s="276" t="s">
        <v>2164</v>
      </c>
      <c r="H131" s="294" t="s">
        <v>2165</v>
      </c>
      <c r="I131">
        <v>50.59</v>
      </c>
      <c r="J131">
        <v>50.59</v>
      </c>
      <c r="P131" s="188">
        <f t="shared" si="3"/>
        <v>101.18</v>
      </c>
    </row>
    <row r="132" spans="1:16">
      <c r="A132" s="275">
        <v>682</v>
      </c>
      <c r="B132" s="8" t="s">
        <v>1358</v>
      </c>
      <c r="C132" s="8" t="s">
        <v>1358</v>
      </c>
      <c r="D132" s="8" t="s">
        <v>1358</v>
      </c>
      <c r="E132" s="281"/>
      <c r="F132" s="278" t="s">
        <v>2009</v>
      </c>
      <c r="G132" s="8" t="s">
        <v>1358</v>
      </c>
      <c r="H132" s="325">
        <v>0</v>
      </c>
      <c r="P132" s="188">
        <f t="shared" si="3"/>
        <v>0</v>
      </c>
    </row>
    <row r="133" spans="1:16" ht="60">
      <c r="A133" s="275">
        <v>696</v>
      </c>
      <c r="B133" s="311" t="s">
        <v>2024</v>
      </c>
      <c r="C133" s="311" t="s">
        <v>2025</v>
      </c>
      <c r="D133" s="311">
        <v>167889340</v>
      </c>
      <c r="E133" s="281" t="s">
        <v>2166</v>
      </c>
      <c r="F133" s="278" t="s">
        <v>2009</v>
      </c>
      <c r="G133" s="362" t="s">
        <v>2167</v>
      </c>
      <c r="H133" s="366" t="s">
        <v>2168</v>
      </c>
      <c r="I133">
        <v>39.78</v>
      </c>
      <c r="J133">
        <v>39.78</v>
      </c>
      <c r="K133">
        <v>39.78</v>
      </c>
      <c r="L133">
        <v>39.78</v>
      </c>
      <c r="P133" s="188">
        <f t="shared" si="3"/>
        <v>159.12</v>
      </c>
    </row>
    <row r="134" spans="1:16">
      <c r="A134" s="275">
        <v>685</v>
      </c>
      <c r="B134" s="8" t="s">
        <v>1358</v>
      </c>
      <c r="C134" s="8" t="s">
        <v>1358</v>
      </c>
      <c r="D134" s="8" t="s">
        <v>1358</v>
      </c>
      <c r="E134" s="213"/>
      <c r="F134" s="278" t="s">
        <v>2009</v>
      </c>
      <c r="G134" s="8" t="s">
        <v>1358</v>
      </c>
      <c r="H134" s="325">
        <v>0</v>
      </c>
      <c r="P134" s="188">
        <f t="shared" si="3"/>
        <v>0</v>
      </c>
    </row>
    <row r="135" spans="1:16">
      <c r="A135" s="275">
        <v>686</v>
      </c>
      <c r="B135" s="210" t="s">
        <v>1358</v>
      </c>
      <c r="C135" s="210" t="s">
        <v>1358</v>
      </c>
      <c r="D135" s="210" t="s">
        <v>1358</v>
      </c>
      <c r="E135" s="213"/>
      <c r="F135" s="278" t="s">
        <v>2009</v>
      </c>
      <c r="G135" s="210" t="s">
        <v>1358</v>
      </c>
      <c r="H135" s="345">
        <v>0</v>
      </c>
      <c r="P135" s="188">
        <f t="shared" si="3"/>
        <v>0</v>
      </c>
    </row>
    <row r="136" spans="1:16">
      <c r="A136" s="275">
        <v>687</v>
      </c>
      <c r="B136" s="8" t="s">
        <v>1358</v>
      </c>
      <c r="C136" s="8" t="s">
        <v>1358</v>
      </c>
      <c r="D136" s="8" t="s">
        <v>1358</v>
      </c>
      <c r="E136" s="213"/>
      <c r="F136" s="278" t="s">
        <v>2009</v>
      </c>
      <c r="G136" s="8" t="s">
        <v>1358</v>
      </c>
      <c r="H136" s="325">
        <v>0</v>
      </c>
      <c r="P136" s="188">
        <f t="shared" si="3"/>
        <v>0</v>
      </c>
    </row>
    <row r="137" spans="1:16" ht="30">
      <c r="A137" s="275">
        <v>700</v>
      </c>
      <c r="B137" s="278" t="s">
        <v>2010</v>
      </c>
      <c r="C137" s="280" t="s">
        <v>2169</v>
      </c>
      <c r="D137" s="280" t="s">
        <v>2170</v>
      </c>
      <c r="E137" s="281" t="s">
        <v>2171</v>
      </c>
      <c r="F137" s="278" t="s">
        <v>2009</v>
      </c>
      <c r="G137" s="280" t="s">
        <v>2172</v>
      </c>
      <c r="H137" s="294" t="s">
        <v>2173</v>
      </c>
      <c r="I137">
        <v>104.05</v>
      </c>
      <c r="J137">
        <v>18.989999999999998</v>
      </c>
      <c r="P137" s="188">
        <f t="shared" si="3"/>
        <v>123.03999999999999</v>
      </c>
    </row>
    <row r="138" spans="1:16">
      <c r="A138" s="275">
        <v>689</v>
      </c>
      <c r="B138" s="8" t="s">
        <v>1358</v>
      </c>
      <c r="C138" s="8" t="s">
        <v>1358</v>
      </c>
      <c r="D138" s="8" t="s">
        <v>1358</v>
      </c>
      <c r="E138" s="213"/>
      <c r="F138" s="278" t="s">
        <v>2009</v>
      </c>
      <c r="G138" s="8" t="s">
        <v>1358</v>
      </c>
      <c r="H138" s="325">
        <v>0</v>
      </c>
      <c r="P138" s="188">
        <f t="shared" si="3"/>
        <v>0</v>
      </c>
    </row>
    <row r="139" spans="1:16" ht="75">
      <c r="A139" s="275">
        <v>709</v>
      </c>
      <c r="B139" s="311" t="s">
        <v>2024</v>
      </c>
      <c r="C139" s="311" t="s">
        <v>2025</v>
      </c>
      <c r="D139" s="311">
        <v>167791847</v>
      </c>
      <c r="E139" s="281" t="s">
        <v>2174</v>
      </c>
      <c r="F139" s="278" t="s">
        <v>2009</v>
      </c>
      <c r="G139" s="362" t="s">
        <v>2175</v>
      </c>
      <c r="H139" s="366" t="s">
        <v>2176</v>
      </c>
      <c r="I139">
        <v>23.8</v>
      </c>
      <c r="J139">
        <v>23.8</v>
      </c>
      <c r="K139">
        <v>23.8</v>
      </c>
      <c r="L139">
        <v>23.8</v>
      </c>
      <c r="M139">
        <v>62.23</v>
      </c>
      <c r="P139" s="188">
        <f t="shared" si="3"/>
        <v>157.43</v>
      </c>
    </row>
    <row r="140" spans="1:16">
      <c r="A140" s="275">
        <v>698</v>
      </c>
      <c r="B140" s="210" t="s">
        <v>1358</v>
      </c>
      <c r="C140" s="210" t="s">
        <v>1358</v>
      </c>
      <c r="D140" s="210" t="s">
        <v>1358</v>
      </c>
      <c r="E140" s="281"/>
      <c r="F140" s="278" t="s">
        <v>2009</v>
      </c>
      <c r="G140" s="210" t="s">
        <v>1358</v>
      </c>
      <c r="H140" s="345">
        <v>0</v>
      </c>
      <c r="P140" s="188">
        <f t="shared" si="3"/>
        <v>0</v>
      </c>
    </row>
    <row r="141" spans="1:16">
      <c r="A141" s="275">
        <v>699</v>
      </c>
      <c r="B141" s="210" t="s">
        <v>1358</v>
      </c>
      <c r="C141" s="210" t="s">
        <v>1358</v>
      </c>
      <c r="D141" s="210" t="s">
        <v>1358</v>
      </c>
      <c r="E141" s="281"/>
      <c r="F141" s="278" t="s">
        <v>2009</v>
      </c>
      <c r="G141" s="210" t="s">
        <v>1358</v>
      </c>
      <c r="H141" s="345">
        <v>0</v>
      </c>
      <c r="P141" s="188">
        <f t="shared" si="3"/>
        <v>0</v>
      </c>
    </row>
    <row r="142" spans="1:16" ht="45">
      <c r="A142" s="275">
        <v>712</v>
      </c>
      <c r="B142" s="311" t="s">
        <v>2024</v>
      </c>
      <c r="C142" s="311" t="s">
        <v>2025</v>
      </c>
      <c r="D142" s="311">
        <v>832140239</v>
      </c>
      <c r="E142" s="281" t="s">
        <v>2177</v>
      </c>
      <c r="F142" s="278" t="s">
        <v>2009</v>
      </c>
      <c r="G142" s="313" t="s">
        <v>2178</v>
      </c>
      <c r="H142" s="366" t="s">
        <v>2179</v>
      </c>
      <c r="I142">
        <v>50.59</v>
      </c>
      <c r="J142">
        <v>50.59</v>
      </c>
      <c r="K142">
        <v>50.59</v>
      </c>
      <c r="P142" s="188">
        <f t="shared" si="3"/>
        <v>151.77000000000001</v>
      </c>
    </row>
    <row r="143" spans="1:16">
      <c r="A143" s="277">
        <v>715</v>
      </c>
      <c r="B143" s="261" t="s">
        <v>2010</v>
      </c>
      <c r="C143" s="261" t="s">
        <v>2013</v>
      </c>
      <c r="D143" s="261">
        <v>381199225</v>
      </c>
      <c r="E143" s="274" t="s">
        <v>2180</v>
      </c>
      <c r="F143" s="261" t="s">
        <v>2009</v>
      </c>
      <c r="G143" s="210">
        <v>61981041331</v>
      </c>
      <c r="H143" s="307">
        <v>18.989999999999998</v>
      </c>
      <c r="I143">
        <v>18.989999999999998</v>
      </c>
      <c r="P143" s="188">
        <f t="shared" si="3"/>
        <v>18.989999999999998</v>
      </c>
    </row>
    <row r="144" spans="1:16">
      <c r="A144" s="275">
        <v>711</v>
      </c>
      <c r="B144" s="210" t="s">
        <v>1358</v>
      </c>
      <c r="C144" s="210" t="s">
        <v>1358</v>
      </c>
      <c r="D144" s="210" t="s">
        <v>1358</v>
      </c>
      <c r="E144" s="281"/>
      <c r="F144" s="278" t="s">
        <v>2009</v>
      </c>
      <c r="G144" s="210" t="s">
        <v>1358</v>
      </c>
      <c r="H144" s="345">
        <v>0</v>
      </c>
      <c r="P144" s="188">
        <f t="shared" si="3"/>
        <v>0</v>
      </c>
    </row>
    <row r="145" spans="1:16">
      <c r="A145" s="277">
        <v>719</v>
      </c>
      <c r="B145" s="218" t="s">
        <v>2010</v>
      </c>
      <c r="C145" s="218" t="s">
        <v>2013</v>
      </c>
      <c r="D145" s="218">
        <v>381199225</v>
      </c>
      <c r="E145" s="210" t="s">
        <v>2181</v>
      </c>
      <c r="F145" s="261" t="s">
        <v>2009</v>
      </c>
      <c r="G145" s="8">
        <v>34998175720</v>
      </c>
      <c r="H145" s="338">
        <v>18.989999999999998</v>
      </c>
      <c r="I145">
        <v>50.59</v>
      </c>
      <c r="J145">
        <v>50.59</v>
      </c>
      <c r="K145">
        <v>50.59</v>
      </c>
      <c r="P145" s="188">
        <f t="shared" si="3"/>
        <v>151.77000000000001</v>
      </c>
    </row>
    <row r="146" spans="1:16">
      <c r="A146" s="274">
        <v>723</v>
      </c>
      <c r="B146" s="261" t="s">
        <v>2010</v>
      </c>
      <c r="C146" s="261" t="s">
        <v>2013</v>
      </c>
      <c r="D146" s="261">
        <v>381199225</v>
      </c>
      <c r="E146" s="210" t="s">
        <v>2182</v>
      </c>
      <c r="F146" s="261" t="s">
        <v>2009</v>
      </c>
      <c r="G146" s="210">
        <v>85981129542</v>
      </c>
      <c r="H146" s="307">
        <v>18.989999999999998</v>
      </c>
      <c r="I146">
        <v>18.989999999999998</v>
      </c>
      <c r="P146" s="188">
        <f t="shared" ref="P146:P177" si="4">SUM(I146:O146)</f>
        <v>18.989999999999998</v>
      </c>
    </row>
    <row r="147" spans="1:16">
      <c r="A147" s="274">
        <v>717</v>
      </c>
      <c r="B147" s="8" t="s">
        <v>1358</v>
      </c>
      <c r="C147" s="8" t="s">
        <v>1358</v>
      </c>
      <c r="D147" s="8" t="s">
        <v>1358</v>
      </c>
      <c r="E147" s="274"/>
      <c r="F147" s="278" t="s">
        <v>2009</v>
      </c>
      <c r="G147" s="8" t="s">
        <v>1358</v>
      </c>
      <c r="H147" s="325">
        <v>0</v>
      </c>
      <c r="P147" s="188">
        <f t="shared" si="4"/>
        <v>0</v>
      </c>
    </row>
    <row r="148" spans="1:16" ht="75">
      <c r="A148" s="281">
        <v>730</v>
      </c>
      <c r="B148" s="299" t="s">
        <v>2183</v>
      </c>
      <c r="C148" s="299" t="s">
        <v>2184</v>
      </c>
      <c r="D148" s="299" t="s">
        <v>2185</v>
      </c>
      <c r="E148" s="281" t="s">
        <v>2186</v>
      </c>
      <c r="F148" s="278" t="s">
        <v>2009</v>
      </c>
      <c r="G148" s="299" t="s">
        <v>2187</v>
      </c>
      <c r="H148" s="294" t="s">
        <v>2188</v>
      </c>
      <c r="I148">
        <v>19.440000000000001</v>
      </c>
      <c r="J148">
        <v>19.440000000000001</v>
      </c>
      <c r="K148">
        <v>19.440000000000001</v>
      </c>
      <c r="L148">
        <v>19.25</v>
      </c>
      <c r="M148">
        <v>18.989999999999998</v>
      </c>
      <c r="P148" s="188">
        <f t="shared" si="4"/>
        <v>96.56</v>
      </c>
    </row>
    <row r="149" spans="1:16">
      <c r="A149" s="274">
        <v>721</v>
      </c>
      <c r="B149" s="8" t="s">
        <v>1358</v>
      </c>
      <c r="C149" s="8" t="s">
        <v>1358</v>
      </c>
      <c r="D149" s="8" t="s">
        <v>1358</v>
      </c>
      <c r="E149" s="210"/>
      <c r="F149" s="278" t="s">
        <v>2009</v>
      </c>
      <c r="G149" s="8" t="s">
        <v>1358</v>
      </c>
      <c r="H149" s="325">
        <v>0</v>
      </c>
      <c r="P149" s="188">
        <f t="shared" si="4"/>
        <v>0</v>
      </c>
    </row>
    <row r="150" spans="1:16">
      <c r="A150" s="274">
        <v>732</v>
      </c>
      <c r="B150" s="218" t="s">
        <v>2010</v>
      </c>
      <c r="C150" s="218" t="s">
        <v>2013</v>
      </c>
      <c r="D150" s="218">
        <v>381199225</v>
      </c>
      <c r="E150" s="210" t="s">
        <v>2189</v>
      </c>
      <c r="F150" s="261" t="s">
        <v>2009</v>
      </c>
      <c r="G150" s="8">
        <v>61996221950</v>
      </c>
      <c r="H150" s="338">
        <v>18.989999999999998</v>
      </c>
      <c r="I150">
        <v>18.989999999999998</v>
      </c>
      <c r="P150" s="188">
        <f t="shared" si="4"/>
        <v>18.989999999999998</v>
      </c>
    </row>
    <row r="151" spans="1:16">
      <c r="A151" s="277">
        <v>725</v>
      </c>
      <c r="B151" s="8" t="s">
        <v>1358</v>
      </c>
      <c r="C151" s="8" t="s">
        <v>1358</v>
      </c>
      <c r="D151" s="8" t="s">
        <v>1358</v>
      </c>
      <c r="E151" s="210"/>
      <c r="F151" s="278" t="s">
        <v>2009</v>
      </c>
      <c r="G151" s="8" t="s">
        <v>1358</v>
      </c>
      <c r="H151" s="325">
        <v>0</v>
      </c>
      <c r="P151" s="188">
        <f t="shared" si="4"/>
        <v>0</v>
      </c>
    </row>
    <row r="152" spans="1:16">
      <c r="A152" s="277">
        <v>726</v>
      </c>
      <c r="B152" s="8" t="s">
        <v>1358</v>
      </c>
      <c r="C152" s="8" t="s">
        <v>1358</v>
      </c>
      <c r="D152" s="8" t="s">
        <v>1358</v>
      </c>
      <c r="E152" s="210"/>
      <c r="F152" s="278" t="s">
        <v>2009</v>
      </c>
      <c r="G152" s="8" t="s">
        <v>1358</v>
      </c>
      <c r="H152" s="325">
        <v>0</v>
      </c>
      <c r="P152" s="188">
        <f t="shared" si="4"/>
        <v>0</v>
      </c>
    </row>
    <row r="153" spans="1:16">
      <c r="A153" s="277">
        <v>727</v>
      </c>
      <c r="B153" s="210" t="s">
        <v>1358</v>
      </c>
      <c r="C153" s="210" t="s">
        <v>1358</v>
      </c>
      <c r="D153" s="210" t="s">
        <v>1358</v>
      </c>
      <c r="E153" s="210"/>
      <c r="F153" s="278" t="s">
        <v>2009</v>
      </c>
      <c r="G153" s="210" t="s">
        <v>1358</v>
      </c>
      <c r="H153" s="345">
        <v>0</v>
      </c>
      <c r="P153" s="188">
        <f t="shared" si="4"/>
        <v>0</v>
      </c>
    </row>
    <row r="154" spans="1:16">
      <c r="A154" s="277">
        <v>729</v>
      </c>
      <c r="B154" s="8" t="s">
        <v>1358</v>
      </c>
      <c r="C154" s="8" t="s">
        <v>1358</v>
      </c>
      <c r="D154" s="8" t="s">
        <v>1358</v>
      </c>
      <c r="E154" s="210"/>
      <c r="F154" s="278" t="s">
        <v>2009</v>
      </c>
      <c r="G154" s="8" t="s">
        <v>1358</v>
      </c>
      <c r="H154" s="325">
        <v>0</v>
      </c>
      <c r="P154" s="188">
        <f t="shared" si="4"/>
        <v>0</v>
      </c>
    </row>
    <row r="155" spans="1:16">
      <c r="A155" s="277">
        <v>733</v>
      </c>
      <c r="B155" s="261" t="s">
        <v>2010</v>
      </c>
      <c r="C155" s="261" t="s">
        <v>2013</v>
      </c>
      <c r="D155" s="261">
        <v>381199225</v>
      </c>
      <c r="E155" s="274" t="s">
        <v>2190</v>
      </c>
      <c r="F155" s="261" t="s">
        <v>2009</v>
      </c>
      <c r="G155" s="210">
        <v>31998633201</v>
      </c>
      <c r="H155" s="307">
        <v>18.989999999999998</v>
      </c>
      <c r="I155">
        <v>18.989999999999998</v>
      </c>
      <c r="P155" s="188">
        <f t="shared" si="4"/>
        <v>18.989999999999998</v>
      </c>
    </row>
    <row r="156" spans="1:16">
      <c r="A156" s="275">
        <v>731</v>
      </c>
      <c r="B156" s="210" t="s">
        <v>1358</v>
      </c>
      <c r="C156" s="210" t="s">
        <v>1358</v>
      </c>
      <c r="D156" s="210" t="s">
        <v>1358</v>
      </c>
      <c r="E156" s="281"/>
      <c r="F156" s="278" t="s">
        <v>2009</v>
      </c>
      <c r="G156" s="210" t="s">
        <v>1358</v>
      </c>
      <c r="H156" s="345">
        <v>0</v>
      </c>
      <c r="P156" s="188">
        <f t="shared" si="4"/>
        <v>0</v>
      </c>
    </row>
    <row r="157" spans="1:16" ht="75">
      <c r="A157" s="281">
        <v>741</v>
      </c>
      <c r="B157" s="311" t="s">
        <v>2010</v>
      </c>
      <c r="C157" s="311" t="s">
        <v>2013</v>
      </c>
      <c r="D157" s="311">
        <v>381199225</v>
      </c>
      <c r="E157" s="213" t="s">
        <v>2191</v>
      </c>
      <c r="F157" s="278" t="s">
        <v>2009</v>
      </c>
      <c r="G157" s="363" t="s">
        <v>2192</v>
      </c>
      <c r="H157" s="366" t="s">
        <v>2193</v>
      </c>
      <c r="I157">
        <v>18.989999999999998</v>
      </c>
      <c r="J157">
        <v>18.989999999999998</v>
      </c>
      <c r="K157">
        <v>18.989999999999998</v>
      </c>
      <c r="L157">
        <v>18.989999999999998</v>
      </c>
      <c r="M157">
        <v>18.989999999999998</v>
      </c>
      <c r="P157" s="188">
        <f t="shared" si="4"/>
        <v>94.949999999999989</v>
      </c>
    </row>
    <row r="158" spans="1:16" ht="30">
      <c r="A158" s="281">
        <v>744</v>
      </c>
      <c r="B158" s="361" t="s">
        <v>2194</v>
      </c>
      <c r="C158" s="361" t="s">
        <v>2195</v>
      </c>
      <c r="D158" s="361" t="s">
        <v>2196</v>
      </c>
      <c r="E158" s="213" t="s">
        <v>2197</v>
      </c>
      <c r="F158" s="278" t="s">
        <v>2009</v>
      </c>
      <c r="G158" s="313" t="s">
        <v>2198</v>
      </c>
      <c r="H158" s="366" t="s">
        <v>2199</v>
      </c>
      <c r="I158">
        <v>62.23</v>
      </c>
      <c r="J158">
        <v>18.989999999999998</v>
      </c>
      <c r="P158" s="188">
        <f t="shared" si="4"/>
        <v>81.22</v>
      </c>
    </row>
    <row r="159" spans="1:16">
      <c r="A159" s="277">
        <v>734</v>
      </c>
      <c r="B159" s="210" t="s">
        <v>1358</v>
      </c>
      <c r="C159" s="210" t="s">
        <v>1358</v>
      </c>
      <c r="D159" s="210" t="s">
        <v>1358</v>
      </c>
      <c r="E159" s="274"/>
      <c r="F159" s="278" t="s">
        <v>2009</v>
      </c>
      <c r="G159" s="210" t="s">
        <v>1358</v>
      </c>
      <c r="H159" s="345">
        <v>0</v>
      </c>
      <c r="P159" s="188">
        <f t="shared" si="4"/>
        <v>0</v>
      </c>
    </row>
    <row r="160" spans="1:16">
      <c r="A160" s="277">
        <v>737</v>
      </c>
      <c r="B160" s="8" t="s">
        <v>1358</v>
      </c>
      <c r="C160" s="8" t="s">
        <v>1358</v>
      </c>
      <c r="D160" s="8" t="s">
        <v>1358</v>
      </c>
      <c r="E160" s="274"/>
      <c r="F160" s="278" t="s">
        <v>2009</v>
      </c>
      <c r="G160" s="8" t="s">
        <v>1358</v>
      </c>
      <c r="H160" s="325">
        <v>0</v>
      </c>
      <c r="P160" s="188">
        <f t="shared" si="4"/>
        <v>0</v>
      </c>
    </row>
    <row r="161" spans="1:16" ht="30">
      <c r="A161" s="275">
        <v>752</v>
      </c>
      <c r="B161" s="278" t="s">
        <v>2024</v>
      </c>
      <c r="C161" s="278" t="s">
        <v>2025</v>
      </c>
      <c r="D161" s="278">
        <v>167735367</v>
      </c>
      <c r="E161" s="281" t="s">
        <v>2200</v>
      </c>
      <c r="F161" s="278" t="s">
        <v>2009</v>
      </c>
      <c r="G161" s="280" t="s">
        <v>2201</v>
      </c>
      <c r="H161" s="294" t="s">
        <v>2202</v>
      </c>
      <c r="I161">
        <v>38.97</v>
      </c>
      <c r="J161">
        <v>38.97</v>
      </c>
      <c r="P161" s="188">
        <f t="shared" si="4"/>
        <v>77.94</v>
      </c>
    </row>
    <row r="162" spans="1:16">
      <c r="A162" s="275">
        <v>742</v>
      </c>
      <c r="B162" s="8" t="s">
        <v>1358</v>
      </c>
      <c r="C162" s="8" t="s">
        <v>1358</v>
      </c>
      <c r="D162" s="8" t="s">
        <v>1358</v>
      </c>
      <c r="E162" s="213"/>
      <c r="F162" s="278" t="s">
        <v>2009</v>
      </c>
      <c r="G162" s="8" t="s">
        <v>1358</v>
      </c>
      <c r="H162" s="325">
        <v>0</v>
      </c>
      <c r="P162" s="188">
        <f t="shared" si="4"/>
        <v>0</v>
      </c>
    </row>
    <row r="163" spans="1:16" ht="60">
      <c r="A163" s="275">
        <v>756</v>
      </c>
      <c r="B163" s="361" t="s">
        <v>2203</v>
      </c>
      <c r="C163" s="361" t="s">
        <v>2204</v>
      </c>
      <c r="D163" s="361" t="s">
        <v>2205</v>
      </c>
      <c r="E163" s="281" t="s">
        <v>2206</v>
      </c>
      <c r="F163" s="278" t="s">
        <v>2009</v>
      </c>
      <c r="G163" s="361" t="s">
        <v>2207</v>
      </c>
      <c r="H163" s="366" t="s">
        <v>2208</v>
      </c>
      <c r="I163">
        <v>40.5</v>
      </c>
      <c r="J163">
        <v>40.5</v>
      </c>
      <c r="K163">
        <v>40.5</v>
      </c>
      <c r="L163">
        <v>18.989999999999998</v>
      </c>
      <c r="P163" s="188">
        <f t="shared" si="4"/>
        <v>140.49</v>
      </c>
    </row>
    <row r="164" spans="1:16">
      <c r="A164" s="275">
        <v>745</v>
      </c>
      <c r="B164" s="8" t="s">
        <v>1358</v>
      </c>
      <c r="C164" s="8" t="s">
        <v>1358</v>
      </c>
      <c r="D164" s="8" t="s">
        <v>1358</v>
      </c>
      <c r="E164" s="213"/>
      <c r="F164" s="278" t="s">
        <v>2009</v>
      </c>
      <c r="G164" s="8" t="s">
        <v>1358</v>
      </c>
      <c r="H164" s="325">
        <v>0</v>
      </c>
      <c r="P164" s="188">
        <f t="shared" si="4"/>
        <v>0</v>
      </c>
    </row>
    <row r="165" spans="1:16">
      <c r="A165" s="275">
        <v>747</v>
      </c>
      <c r="B165" s="210" t="s">
        <v>1358</v>
      </c>
      <c r="C165" s="210" t="s">
        <v>1358</v>
      </c>
      <c r="D165" s="210" t="s">
        <v>1358</v>
      </c>
      <c r="E165" s="213"/>
      <c r="F165" s="278" t="s">
        <v>2009</v>
      </c>
      <c r="G165" s="210" t="s">
        <v>1358</v>
      </c>
      <c r="H165" s="345">
        <v>0</v>
      </c>
      <c r="P165" s="188">
        <f t="shared" si="4"/>
        <v>0</v>
      </c>
    </row>
    <row r="166" spans="1:16">
      <c r="A166" s="275">
        <v>751</v>
      </c>
      <c r="B166" s="8" t="s">
        <v>1358</v>
      </c>
      <c r="C166" s="8" t="s">
        <v>1358</v>
      </c>
      <c r="D166" s="8" t="s">
        <v>1358</v>
      </c>
      <c r="E166" s="213"/>
      <c r="F166" s="278" t="s">
        <v>2009</v>
      </c>
      <c r="G166" s="8" t="s">
        <v>1358</v>
      </c>
      <c r="H166" s="325">
        <v>0</v>
      </c>
      <c r="P166" s="188">
        <f t="shared" si="4"/>
        <v>0</v>
      </c>
    </row>
    <row r="167" spans="1:16" ht="30">
      <c r="A167" s="275">
        <v>764</v>
      </c>
      <c r="B167" s="278" t="s">
        <v>2024</v>
      </c>
      <c r="C167" s="278" t="s">
        <v>2025</v>
      </c>
      <c r="D167" s="278">
        <v>168026688</v>
      </c>
      <c r="E167" s="281" t="s">
        <v>2209</v>
      </c>
      <c r="F167" s="278" t="s">
        <v>2009</v>
      </c>
      <c r="G167" s="280" t="s">
        <v>2210</v>
      </c>
      <c r="H167" s="294" t="s">
        <v>2211</v>
      </c>
      <c r="I167">
        <v>24.05</v>
      </c>
      <c r="J167">
        <v>24.05</v>
      </c>
      <c r="P167" s="188">
        <f t="shared" si="4"/>
        <v>48.1</v>
      </c>
    </row>
    <row r="168" spans="1:16">
      <c r="A168" s="275">
        <v>754</v>
      </c>
      <c r="B168" s="210" t="s">
        <v>1358</v>
      </c>
      <c r="C168" s="210" t="s">
        <v>1358</v>
      </c>
      <c r="D168" s="210" t="s">
        <v>1358</v>
      </c>
      <c r="E168" s="281"/>
      <c r="F168" s="278" t="s">
        <v>2009</v>
      </c>
      <c r="G168" s="210" t="s">
        <v>1358</v>
      </c>
      <c r="H168" s="345">
        <v>0</v>
      </c>
      <c r="P168" s="188">
        <f t="shared" si="4"/>
        <v>0</v>
      </c>
    </row>
    <row r="169" spans="1:16" ht="30">
      <c r="A169" s="275">
        <v>765</v>
      </c>
      <c r="B169" s="278" t="s">
        <v>2010</v>
      </c>
      <c r="C169" s="278" t="s">
        <v>2013</v>
      </c>
      <c r="D169" s="278">
        <v>381199225</v>
      </c>
      <c r="E169" s="213" t="s">
        <v>2212</v>
      </c>
      <c r="F169" s="278" t="s">
        <v>2009</v>
      </c>
      <c r="G169" s="276" t="s">
        <v>2213</v>
      </c>
      <c r="H169" s="294" t="s">
        <v>2108</v>
      </c>
      <c r="I169">
        <v>18.989999999999998</v>
      </c>
      <c r="J169">
        <v>18.989999999999998</v>
      </c>
      <c r="P169" s="188">
        <f t="shared" si="4"/>
        <v>37.979999999999997</v>
      </c>
    </row>
    <row r="170" spans="1:16">
      <c r="A170" s="277">
        <v>770</v>
      </c>
      <c r="B170" s="218" t="s">
        <v>2024</v>
      </c>
      <c r="C170" s="218" t="s">
        <v>2025</v>
      </c>
      <c r="D170" s="218">
        <v>832140239</v>
      </c>
      <c r="E170" s="210" t="s">
        <v>2214</v>
      </c>
      <c r="F170" s="261" t="s">
        <v>2009</v>
      </c>
      <c r="G170" s="8">
        <v>11966180869</v>
      </c>
      <c r="H170" s="338">
        <v>62.23</v>
      </c>
      <c r="I170">
        <v>62.23</v>
      </c>
      <c r="P170" s="188">
        <f t="shared" si="4"/>
        <v>62.23</v>
      </c>
    </row>
    <row r="171" spans="1:16" ht="30">
      <c r="A171" s="275">
        <v>771</v>
      </c>
      <c r="B171" s="278" t="s">
        <v>2010</v>
      </c>
      <c r="C171" s="278" t="s">
        <v>2013</v>
      </c>
      <c r="D171" s="278">
        <v>381199225</v>
      </c>
      <c r="E171" s="213" t="s">
        <v>2215</v>
      </c>
      <c r="F171" s="278" t="s">
        <v>2009</v>
      </c>
      <c r="G171" s="293" t="s">
        <v>2216</v>
      </c>
      <c r="H171" s="294" t="s">
        <v>2108</v>
      </c>
      <c r="I171">
        <v>18.989999999999998</v>
      </c>
      <c r="J171">
        <v>18.989999999999998</v>
      </c>
      <c r="P171" s="188">
        <f t="shared" si="4"/>
        <v>37.979999999999997</v>
      </c>
    </row>
    <row r="172" spans="1:16">
      <c r="A172" s="275">
        <v>768</v>
      </c>
      <c r="B172" s="210" t="s">
        <v>1358</v>
      </c>
      <c r="C172" s="210" t="s">
        <v>1358</v>
      </c>
      <c r="D172" s="210" t="s">
        <v>1358</v>
      </c>
      <c r="E172" s="213"/>
      <c r="F172" s="278" t="s">
        <v>2009</v>
      </c>
      <c r="G172" s="210" t="s">
        <v>1358</v>
      </c>
      <c r="H172" s="345">
        <v>0</v>
      </c>
      <c r="P172" s="188">
        <f t="shared" si="4"/>
        <v>0</v>
      </c>
    </row>
    <row r="173" spans="1:16">
      <c r="A173" s="274">
        <v>774</v>
      </c>
      <c r="B173" s="261" t="s">
        <v>2010</v>
      </c>
      <c r="C173" s="261" t="s">
        <v>2013</v>
      </c>
      <c r="D173" s="261">
        <v>381199225</v>
      </c>
      <c r="E173" s="210" t="s">
        <v>2217</v>
      </c>
      <c r="F173" s="261" t="s">
        <v>2009</v>
      </c>
      <c r="G173" s="210">
        <v>21967265610</v>
      </c>
      <c r="H173" s="307">
        <v>18.989999999999998</v>
      </c>
      <c r="I173">
        <v>18.989999999999998</v>
      </c>
      <c r="P173" s="188">
        <f t="shared" si="4"/>
        <v>18.989999999999998</v>
      </c>
    </row>
    <row r="174" spans="1:16" ht="30">
      <c r="A174" s="275">
        <v>778</v>
      </c>
      <c r="B174" s="278" t="s">
        <v>2024</v>
      </c>
      <c r="C174" s="278" t="s">
        <v>2025</v>
      </c>
      <c r="D174" s="278">
        <v>167834114</v>
      </c>
      <c r="E174" s="281" t="s">
        <v>2218</v>
      </c>
      <c r="F174" s="278" t="s">
        <v>2009</v>
      </c>
      <c r="G174" s="280" t="s">
        <v>2219</v>
      </c>
      <c r="H174" s="294" t="s">
        <v>2220</v>
      </c>
      <c r="I174">
        <v>40.08</v>
      </c>
      <c r="J174">
        <v>40.04</v>
      </c>
      <c r="P174" s="188">
        <f t="shared" si="4"/>
        <v>80.12</v>
      </c>
    </row>
    <row r="175" spans="1:16" ht="60">
      <c r="A175" s="281">
        <v>795</v>
      </c>
      <c r="B175" s="311" t="s">
        <v>2010</v>
      </c>
      <c r="C175" s="362" t="s">
        <v>2221</v>
      </c>
      <c r="D175" s="362" t="s">
        <v>2222</v>
      </c>
      <c r="E175" s="213" t="s">
        <v>2223</v>
      </c>
      <c r="F175" s="278" t="s">
        <v>2009</v>
      </c>
      <c r="G175" s="363" t="s">
        <v>2224</v>
      </c>
      <c r="H175" s="366" t="s">
        <v>2225</v>
      </c>
      <c r="I175">
        <v>104.05</v>
      </c>
      <c r="J175">
        <v>18.989999999999998</v>
      </c>
      <c r="K175">
        <v>18.989999999999998</v>
      </c>
      <c r="L175">
        <v>18.989999999999998</v>
      </c>
      <c r="P175" s="188">
        <f t="shared" si="4"/>
        <v>161.02000000000001</v>
      </c>
    </row>
    <row r="176" spans="1:16" ht="45">
      <c r="A176" s="275">
        <v>796</v>
      </c>
      <c r="B176" s="311" t="s">
        <v>2010</v>
      </c>
      <c r="C176" s="362" t="s">
        <v>2226</v>
      </c>
      <c r="D176" s="362" t="s">
        <v>2227</v>
      </c>
      <c r="E176" s="213" t="s">
        <v>2228</v>
      </c>
      <c r="F176" s="278" t="s">
        <v>2009</v>
      </c>
      <c r="G176" s="313" t="s">
        <v>2229</v>
      </c>
      <c r="H176" s="366" t="s">
        <v>2230</v>
      </c>
      <c r="I176">
        <v>104.05</v>
      </c>
      <c r="J176">
        <v>18.989999999999998</v>
      </c>
      <c r="K176">
        <v>18.989999999999998</v>
      </c>
      <c r="P176" s="188">
        <f t="shared" si="4"/>
        <v>142.03</v>
      </c>
    </row>
    <row r="177" spans="1:16">
      <c r="A177" s="275">
        <v>780</v>
      </c>
      <c r="B177" s="8" t="s">
        <v>1358</v>
      </c>
      <c r="C177" s="8" t="s">
        <v>1358</v>
      </c>
      <c r="D177" s="8" t="s">
        <v>1358</v>
      </c>
      <c r="E177" s="281"/>
      <c r="F177" s="278" t="s">
        <v>2009</v>
      </c>
      <c r="G177" s="8" t="s">
        <v>1358</v>
      </c>
      <c r="H177" s="325">
        <v>0</v>
      </c>
      <c r="P177" s="188">
        <f t="shared" si="4"/>
        <v>0</v>
      </c>
    </row>
    <row r="178" spans="1:16">
      <c r="A178" s="275">
        <v>783</v>
      </c>
      <c r="B178" s="8" t="s">
        <v>1358</v>
      </c>
      <c r="C178" s="8" t="s">
        <v>1358</v>
      </c>
      <c r="D178" s="8" t="s">
        <v>1358</v>
      </c>
      <c r="E178" s="281"/>
      <c r="F178" s="278" t="s">
        <v>2009</v>
      </c>
      <c r="G178" s="8" t="s">
        <v>1358</v>
      </c>
      <c r="H178" s="325">
        <v>0</v>
      </c>
      <c r="P178" s="188">
        <f t="shared" ref="P178:P209" si="5">SUM(I178:O178)</f>
        <v>0</v>
      </c>
    </row>
    <row r="179" spans="1:16">
      <c r="A179" s="275">
        <v>785</v>
      </c>
      <c r="B179" s="8" t="s">
        <v>1358</v>
      </c>
      <c r="C179" s="8" t="s">
        <v>1358</v>
      </c>
      <c r="D179" s="8" t="s">
        <v>1358</v>
      </c>
      <c r="E179" s="281"/>
      <c r="F179" s="278" t="s">
        <v>2009</v>
      </c>
      <c r="G179" s="8" t="s">
        <v>1358</v>
      </c>
      <c r="H179" s="325">
        <v>0</v>
      </c>
      <c r="P179" s="188">
        <f t="shared" si="5"/>
        <v>0</v>
      </c>
    </row>
    <row r="180" spans="1:16">
      <c r="A180" s="275">
        <v>788</v>
      </c>
      <c r="B180" s="210" t="s">
        <v>1358</v>
      </c>
      <c r="C180" s="210" t="s">
        <v>1358</v>
      </c>
      <c r="D180" s="210" t="s">
        <v>1358</v>
      </c>
      <c r="E180" s="281"/>
      <c r="F180" s="278" t="s">
        <v>2009</v>
      </c>
      <c r="G180" s="210" t="s">
        <v>1358</v>
      </c>
      <c r="H180" s="345">
        <v>0</v>
      </c>
      <c r="P180" s="188">
        <f t="shared" si="5"/>
        <v>0</v>
      </c>
    </row>
    <row r="181" spans="1:16">
      <c r="A181" s="275">
        <v>794</v>
      </c>
      <c r="B181" s="210" t="s">
        <v>1358</v>
      </c>
      <c r="C181" s="210" t="s">
        <v>1358</v>
      </c>
      <c r="D181" s="210" t="s">
        <v>1358</v>
      </c>
      <c r="E181" s="281"/>
      <c r="F181" s="278" t="s">
        <v>2009</v>
      </c>
      <c r="G181" s="210" t="s">
        <v>1358</v>
      </c>
      <c r="H181" s="345">
        <v>0</v>
      </c>
      <c r="P181" s="188">
        <f t="shared" si="5"/>
        <v>0</v>
      </c>
    </row>
    <row r="182" spans="1:16">
      <c r="A182" s="277">
        <v>844</v>
      </c>
      <c r="B182" s="218" t="s">
        <v>2024</v>
      </c>
      <c r="C182" s="218" t="s">
        <v>2025</v>
      </c>
      <c r="D182" s="218">
        <v>832140239</v>
      </c>
      <c r="E182" s="274" t="s">
        <v>2231</v>
      </c>
      <c r="F182" s="261" t="s">
        <v>2009</v>
      </c>
      <c r="G182" s="8">
        <v>11913102413</v>
      </c>
      <c r="H182" s="338">
        <v>62.23</v>
      </c>
      <c r="I182">
        <v>62.23</v>
      </c>
      <c r="P182" s="188">
        <f t="shared" si="5"/>
        <v>62.23</v>
      </c>
    </row>
    <row r="183" spans="1:16">
      <c r="A183" s="277">
        <v>845</v>
      </c>
      <c r="B183" s="261" t="s">
        <v>2010</v>
      </c>
      <c r="C183" s="261" t="s">
        <v>2011</v>
      </c>
      <c r="D183" s="261">
        <v>2027121479</v>
      </c>
      <c r="E183" s="210" t="s">
        <v>2232</v>
      </c>
      <c r="F183" s="261" t="s">
        <v>2009</v>
      </c>
      <c r="G183" s="210">
        <v>11943714726</v>
      </c>
      <c r="H183" s="307">
        <v>104.05</v>
      </c>
      <c r="I183">
        <v>104.05</v>
      </c>
      <c r="P183" s="188">
        <f t="shared" si="5"/>
        <v>104.05</v>
      </c>
    </row>
    <row r="184" spans="1:16">
      <c r="A184" s="275">
        <v>799</v>
      </c>
      <c r="B184" s="210" t="s">
        <v>1358</v>
      </c>
      <c r="C184" s="210" t="s">
        <v>1358</v>
      </c>
      <c r="D184" s="210" t="s">
        <v>1358</v>
      </c>
      <c r="E184" s="213"/>
      <c r="F184" s="278" t="s">
        <v>2009</v>
      </c>
      <c r="G184" s="210" t="s">
        <v>1358</v>
      </c>
      <c r="H184" s="345">
        <v>0</v>
      </c>
      <c r="P184" s="188">
        <f t="shared" si="5"/>
        <v>0</v>
      </c>
    </row>
    <row r="185" spans="1:16" ht="30">
      <c r="A185" s="281">
        <v>847</v>
      </c>
      <c r="B185" s="278" t="s">
        <v>2010</v>
      </c>
      <c r="C185" s="278" t="s">
        <v>2013</v>
      </c>
      <c r="D185" s="278">
        <v>381199225</v>
      </c>
      <c r="E185" s="213" t="s">
        <v>2233</v>
      </c>
      <c r="F185" s="278" t="s">
        <v>2009</v>
      </c>
      <c r="G185" s="276" t="s">
        <v>2234</v>
      </c>
      <c r="H185" s="294" t="s">
        <v>2108</v>
      </c>
      <c r="I185">
        <v>18.989999999999998</v>
      </c>
      <c r="J185">
        <v>18.989999999999998</v>
      </c>
      <c r="P185" s="188">
        <f t="shared" si="5"/>
        <v>37.979999999999997</v>
      </c>
    </row>
    <row r="186" spans="1:16">
      <c r="A186" s="274">
        <v>848</v>
      </c>
      <c r="B186" s="261" t="s">
        <v>2010</v>
      </c>
      <c r="C186" s="261" t="s">
        <v>2013</v>
      </c>
      <c r="D186" s="261">
        <v>381199225</v>
      </c>
      <c r="E186" s="210" t="s">
        <v>2235</v>
      </c>
      <c r="F186" s="261" t="s">
        <v>2009</v>
      </c>
      <c r="G186" s="210">
        <v>61999571930</v>
      </c>
      <c r="H186" s="307">
        <v>18.989999999999998</v>
      </c>
      <c r="I186" s="283">
        <v>18.989999999999998</v>
      </c>
      <c r="P186" s="188">
        <f t="shared" si="5"/>
        <v>18.989999999999998</v>
      </c>
    </row>
    <row r="187" spans="1:16">
      <c r="A187" s="277">
        <v>853</v>
      </c>
      <c r="B187" s="218" t="s">
        <v>2010</v>
      </c>
      <c r="C187" s="218" t="s">
        <v>2011</v>
      </c>
      <c r="D187" s="218">
        <v>2027121479</v>
      </c>
      <c r="E187" s="210" t="s">
        <v>2236</v>
      </c>
      <c r="F187" s="261" t="s">
        <v>2009</v>
      </c>
      <c r="G187" s="8">
        <v>11932440119</v>
      </c>
      <c r="H187" s="338">
        <v>104.05</v>
      </c>
      <c r="I187">
        <v>104.05</v>
      </c>
      <c r="P187" s="188">
        <f t="shared" si="5"/>
        <v>104.05</v>
      </c>
    </row>
    <row r="188" spans="1:16" ht="30">
      <c r="A188" s="281">
        <v>857</v>
      </c>
      <c r="B188" s="311" t="s">
        <v>2010</v>
      </c>
      <c r="C188" s="311" t="s">
        <v>2013</v>
      </c>
      <c r="D188" s="311">
        <v>381199225</v>
      </c>
      <c r="E188" s="213" t="s">
        <v>2237</v>
      </c>
      <c r="F188" s="278" t="s">
        <v>2009</v>
      </c>
      <c r="G188" s="313" t="s">
        <v>2238</v>
      </c>
      <c r="H188" s="366" t="s">
        <v>2239</v>
      </c>
      <c r="I188">
        <v>18.989999999999998</v>
      </c>
      <c r="J188">
        <v>18.989999999999998</v>
      </c>
      <c r="P188" s="188">
        <f t="shared" si="5"/>
        <v>37.979999999999997</v>
      </c>
    </row>
    <row r="189" spans="1:16">
      <c r="A189" s="274">
        <v>849</v>
      </c>
      <c r="B189" s="8" t="s">
        <v>1358</v>
      </c>
      <c r="C189" s="8" t="s">
        <v>1358</v>
      </c>
      <c r="D189" s="8" t="s">
        <v>1358</v>
      </c>
      <c r="E189" s="210"/>
      <c r="F189" s="278" t="s">
        <v>2009</v>
      </c>
      <c r="G189" s="8" t="s">
        <v>1358</v>
      </c>
      <c r="H189" s="325">
        <v>0</v>
      </c>
      <c r="I189" s="330"/>
      <c r="P189" s="188">
        <f t="shared" si="5"/>
        <v>0</v>
      </c>
    </row>
    <row r="190" spans="1:16">
      <c r="A190" s="274">
        <v>851</v>
      </c>
      <c r="B190" s="210" t="s">
        <v>1358</v>
      </c>
      <c r="C190" s="210" t="s">
        <v>1358</v>
      </c>
      <c r="D190" s="210" t="s">
        <v>1358</v>
      </c>
      <c r="E190" s="210"/>
      <c r="F190" s="278" t="s">
        <v>2009</v>
      </c>
      <c r="G190" s="210" t="s">
        <v>1358</v>
      </c>
      <c r="H190" s="345">
        <v>0</v>
      </c>
      <c r="I190" s="330"/>
      <c r="P190" s="188">
        <f t="shared" si="5"/>
        <v>0</v>
      </c>
    </row>
    <row r="191" spans="1:16">
      <c r="A191" s="274">
        <v>852</v>
      </c>
      <c r="B191" s="210" t="s">
        <v>1358</v>
      </c>
      <c r="C191" s="210" t="s">
        <v>1358</v>
      </c>
      <c r="D191" s="210" t="s">
        <v>1358</v>
      </c>
      <c r="E191" s="210"/>
      <c r="F191" s="278" t="s">
        <v>2009</v>
      </c>
      <c r="G191" s="210" t="s">
        <v>1358</v>
      </c>
      <c r="H191" s="345">
        <v>0</v>
      </c>
      <c r="I191" s="330"/>
      <c r="P191" s="188">
        <f t="shared" si="5"/>
        <v>0</v>
      </c>
    </row>
    <row r="192" spans="1:16" ht="30">
      <c r="A192" s="281">
        <v>876</v>
      </c>
      <c r="B192" s="311" t="s">
        <v>2024</v>
      </c>
      <c r="C192" s="311" t="s">
        <v>2025</v>
      </c>
      <c r="D192" s="311">
        <v>167966127</v>
      </c>
      <c r="E192" s="281" t="s">
        <v>2240</v>
      </c>
      <c r="F192" s="278" t="s">
        <v>2009</v>
      </c>
      <c r="G192" s="362" t="s">
        <v>2241</v>
      </c>
      <c r="H192" s="366" t="s">
        <v>2242</v>
      </c>
      <c r="I192">
        <v>39.78</v>
      </c>
      <c r="J192">
        <v>39.78</v>
      </c>
      <c r="P192" s="188">
        <f t="shared" si="5"/>
        <v>79.56</v>
      </c>
    </row>
    <row r="193" spans="1:16" ht="30">
      <c r="A193" s="275">
        <v>877</v>
      </c>
      <c r="B193" s="311" t="s">
        <v>2024</v>
      </c>
      <c r="C193" s="311" t="s">
        <v>2025</v>
      </c>
      <c r="D193" s="311">
        <v>167858424</v>
      </c>
      <c r="E193" s="281" t="s">
        <v>2243</v>
      </c>
      <c r="F193" s="278" t="s">
        <v>2009</v>
      </c>
      <c r="G193" s="362" t="s">
        <v>2244</v>
      </c>
      <c r="H193" s="366" t="s">
        <v>2245</v>
      </c>
      <c r="I193">
        <v>32.19</v>
      </c>
      <c r="J193">
        <v>32.19</v>
      </c>
      <c r="P193" s="188">
        <f t="shared" si="5"/>
        <v>64.38</v>
      </c>
    </row>
    <row r="194" spans="1:16">
      <c r="A194" s="275">
        <v>858</v>
      </c>
      <c r="B194" s="8" t="s">
        <v>1358</v>
      </c>
      <c r="C194" s="8" t="s">
        <v>1358</v>
      </c>
      <c r="D194" s="8" t="s">
        <v>1358</v>
      </c>
      <c r="E194" s="213"/>
      <c r="F194" s="278" t="s">
        <v>2009</v>
      </c>
      <c r="G194" s="8" t="s">
        <v>1358</v>
      </c>
      <c r="H194" s="325">
        <v>0</v>
      </c>
      <c r="P194" s="188">
        <f t="shared" si="5"/>
        <v>0</v>
      </c>
    </row>
    <row r="195" spans="1:16">
      <c r="A195" s="275">
        <v>859</v>
      </c>
      <c r="B195" s="8" t="s">
        <v>1358</v>
      </c>
      <c r="C195" s="8" t="s">
        <v>1358</v>
      </c>
      <c r="D195" s="8" t="s">
        <v>1358</v>
      </c>
      <c r="E195" s="213"/>
      <c r="F195" s="278" t="s">
        <v>2009</v>
      </c>
      <c r="G195" s="8" t="s">
        <v>1358</v>
      </c>
      <c r="H195" s="325">
        <v>0</v>
      </c>
      <c r="P195" s="188">
        <f t="shared" si="5"/>
        <v>0</v>
      </c>
    </row>
    <row r="196" spans="1:16">
      <c r="A196" s="275">
        <v>864</v>
      </c>
      <c r="B196" s="8" t="s">
        <v>1358</v>
      </c>
      <c r="C196" s="8" t="s">
        <v>1358</v>
      </c>
      <c r="D196" s="8" t="s">
        <v>1358</v>
      </c>
      <c r="E196" s="213"/>
      <c r="F196" s="278" t="s">
        <v>2009</v>
      </c>
      <c r="G196" s="8" t="s">
        <v>1358</v>
      </c>
      <c r="H196" s="325">
        <v>0</v>
      </c>
      <c r="P196" s="188">
        <f t="shared" si="5"/>
        <v>0</v>
      </c>
    </row>
    <row r="197" spans="1:16">
      <c r="A197" s="275">
        <v>867</v>
      </c>
      <c r="B197" s="210" t="s">
        <v>1358</v>
      </c>
      <c r="C197" s="210" t="s">
        <v>1358</v>
      </c>
      <c r="D197" s="210" t="s">
        <v>1358</v>
      </c>
      <c r="E197" s="213"/>
      <c r="F197" s="278" t="s">
        <v>2009</v>
      </c>
      <c r="G197" s="210" t="s">
        <v>1358</v>
      </c>
      <c r="H197" s="345">
        <v>0</v>
      </c>
      <c r="P197" s="188">
        <f t="shared" si="5"/>
        <v>0</v>
      </c>
    </row>
    <row r="198" spans="1:16">
      <c r="A198" s="275">
        <v>868</v>
      </c>
      <c r="B198" s="210" t="s">
        <v>1358</v>
      </c>
      <c r="C198" s="210" t="s">
        <v>1358</v>
      </c>
      <c r="D198" s="210" t="s">
        <v>1358</v>
      </c>
      <c r="E198" s="213"/>
      <c r="F198" s="278" t="s">
        <v>2009</v>
      </c>
      <c r="G198" s="210" t="s">
        <v>1358</v>
      </c>
      <c r="H198" s="345">
        <v>0</v>
      </c>
      <c r="P198" s="188">
        <f t="shared" si="5"/>
        <v>0</v>
      </c>
    </row>
    <row r="199" spans="1:16" ht="60">
      <c r="A199" s="275">
        <v>885</v>
      </c>
      <c r="B199" s="311" t="s">
        <v>2024</v>
      </c>
      <c r="C199" s="311" t="s">
        <v>2025</v>
      </c>
      <c r="D199" s="311">
        <v>167889704</v>
      </c>
      <c r="E199" s="281" t="s">
        <v>2246</v>
      </c>
      <c r="F199" s="278" t="s">
        <v>2009</v>
      </c>
      <c r="G199" s="361" t="s">
        <v>2247</v>
      </c>
      <c r="H199" s="366" t="s">
        <v>2248</v>
      </c>
      <c r="I199">
        <v>40.1</v>
      </c>
      <c r="J199">
        <v>40.1</v>
      </c>
      <c r="K199">
        <v>40.1</v>
      </c>
      <c r="L199">
        <v>40.1</v>
      </c>
      <c r="P199" s="188">
        <f t="shared" si="5"/>
        <v>160.4</v>
      </c>
    </row>
    <row r="200" spans="1:16">
      <c r="A200" s="277">
        <v>895</v>
      </c>
      <c r="B200" s="218" t="s">
        <v>2010</v>
      </c>
      <c r="C200" s="218" t="s">
        <v>2013</v>
      </c>
      <c r="D200" s="218">
        <v>381199225</v>
      </c>
      <c r="E200" s="210" t="s">
        <v>2249</v>
      </c>
      <c r="F200" s="261" t="s">
        <v>2009</v>
      </c>
      <c r="G200" s="8">
        <v>71999491397</v>
      </c>
      <c r="H200" s="338">
        <v>18.989999999999998</v>
      </c>
      <c r="I200">
        <v>18.989999999999998</v>
      </c>
      <c r="P200" s="188">
        <f t="shared" si="5"/>
        <v>18.989999999999998</v>
      </c>
    </row>
    <row r="201" spans="1:16">
      <c r="A201" s="275">
        <v>879</v>
      </c>
      <c r="B201" s="8" t="s">
        <v>1358</v>
      </c>
      <c r="C201" s="8" t="s">
        <v>1358</v>
      </c>
      <c r="D201" s="8" t="s">
        <v>1358</v>
      </c>
      <c r="E201" s="281"/>
      <c r="F201" s="278" t="s">
        <v>2009</v>
      </c>
      <c r="G201" s="8" t="s">
        <v>1358</v>
      </c>
      <c r="H201" s="325">
        <v>0</v>
      </c>
      <c r="P201" s="188">
        <f t="shared" si="5"/>
        <v>0</v>
      </c>
    </row>
    <row r="202" spans="1:16">
      <c r="A202" s="275">
        <v>880</v>
      </c>
      <c r="B202" s="210" t="s">
        <v>1358</v>
      </c>
      <c r="C202" s="210" t="s">
        <v>1358</v>
      </c>
      <c r="D202" s="210" t="s">
        <v>1358</v>
      </c>
      <c r="E202" s="281"/>
      <c r="F202" s="278" t="s">
        <v>2009</v>
      </c>
      <c r="G202" s="210" t="s">
        <v>1358</v>
      </c>
      <c r="H202" s="345">
        <v>0</v>
      </c>
      <c r="P202" s="188">
        <f t="shared" si="5"/>
        <v>0</v>
      </c>
    </row>
    <row r="203" spans="1:16">
      <c r="A203" s="275">
        <v>884</v>
      </c>
      <c r="B203" s="8" t="s">
        <v>1358</v>
      </c>
      <c r="C203" s="8" t="s">
        <v>1358</v>
      </c>
      <c r="D203" s="8" t="s">
        <v>1358</v>
      </c>
      <c r="E203" s="281"/>
      <c r="F203" s="278" t="s">
        <v>2009</v>
      </c>
      <c r="G203" s="8" t="s">
        <v>1358</v>
      </c>
      <c r="H203" s="325">
        <v>0</v>
      </c>
      <c r="P203" s="188">
        <f t="shared" si="5"/>
        <v>0</v>
      </c>
    </row>
    <row r="204" spans="1:16">
      <c r="A204" s="277">
        <v>905</v>
      </c>
      <c r="B204" s="218" t="s">
        <v>2010</v>
      </c>
      <c r="C204" s="218" t="s">
        <v>2013</v>
      </c>
      <c r="D204" s="218">
        <v>381199225</v>
      </c>
      <c r="E204" s="210" t="s">
        <v>2250</v>
      </c>
      <c r="F204" s="261" t="s">
        <v>2009</v>
      </c>
      <c r="G204" s="8">
        <v>91991096182</v>
      </c>
      <c r="H204" s="338">
        <v>18.989999999999998</v>
      </c>
      <c r="I204">
        <v>18.989999999999998</v>
      </c>
      <c r="P204" s="188">
        <f t="shared" si="5"/>
        <v>18.989999999999998</v>
      </c>
    </row>
    <row r="205" spans="1:16">
      <c r="A205" s="275">
        <v>888</v>
      </c>
      <c r="B205" s="8" t="s">
        <v>1358</v>
      </c>
      <c r="C205" s="8" t="s">
        <v>1358</v>
      </c>
      <c r="D205" s="8" t="s">
        <v>1358</v>
      </c>
      <c r="E205" s="281"/>
      <c r="F205" s="278" t="s">
        <v>2009</v>
      </c>
      <c r="G205" s="8" t="s">
        <v>1358</v>
      </c>
      <c r="H205" s="325">
        <v>0</v>
      </c>
      <c r="P205" s="188">
        <f t="shared" si="5"/>
        <v>0</v>
      </c>
    </row>
    <row r="206" spans="1:16">
      <c r="A206" s="275">
        <v>889</v>
      </c>
      <c r="B206" s="8" t="s">
        <v>1358</v>
      </c>
      <c r="C206" s="8" t="s">
        <v>1358</v>
      </c>
      <c r="D206" s="8" t="s">
        <v>1358</v>
      </c>
      <c r="E206" s="281"/>
      <c r="F206" s="278" t="s">
        <v>2009</v>
      </c>
      <c r="G206" s="8" t="s">
        <v>1358</v>
      </c>
      <c r="H206" s="325">
        <v>0</v>
      </c>
      <c r="P206" s="188">
        <f t="shared" si="5"/>
        <v>0</v>
      </c>
    </row>
    <row r="207" spans="1:16">
      <c r="A207" s="275">
        <v>890</v>
      </c>
      <c r="B207" s="8" t="s">
        <v>1358</v>
      </c>
      <c r="C207" s="8" t="s">
        <v>1358</v>
      </c>
      <c r="D207" s="8" t="s">
        <v>1358</v>
      </c>
      <c r="E207" s="281"/>
      <c r="F207" s="278" t="s">
        <v>2009</v>
      </c>
      <c r="G207" s="8" t="s">
        <v>1358</v>
      </c>
      <c r="H207" s="325">
        <v>0</v>
      </c>
      <c r="P207" s="188">
        <f t="shared" si="5"/>
        <v>0</v>
      </c>
    </row>
    <row r="208" spans="1:16">
      <c r="A208" s="275">
        <v>891</v>
      </c>
      <c r="B208" s="210" t="s">
        <v>1358</v>
      </c>
      <c r="C208" s="210" t="s">
        <v>1358</v>
      </c>
      <c r="D208" s="210" t="s">
        <v>1358</v>
      </c>
      <c r="E208" s="281"/>
      <c r="F208" s="278" t="s">
        <v>2009</v>
      </c>
      <c r="G208" s="210" t="s">
        <v>1358</v>
      </c>
      <c r="H208" s="345">
        <v>0</v>
      </c>
      <c r="P208" s="188">
        <f t="shared" si="5"/>
        <v>0</v>
      </c>
    </row>
    <row r="209" spans="1:16">
      <c r="A209" s="275">
        <v>893</v>
      </c>
      <c r="B209" s="210" t="s">
        <v>1358</v>
      </c>
      <c r="C209" s="210" t="s">
        <v>1358</v>
      </c>
      <c r="D209" s="210" t="s">
        <v>1358</v>
      </c>
      <c r="E209" s="281"/>
      <c r="F209" s="278" t="s">
        <v>2009</v>
      </c>
      <c r="G209" s="210" t="s">
        <v>1358</v>
      </c>
      <c r="H209" s="345">
        <v>0</v>
      </c>
      <c r="P209" s="188">
        <f t="shared" si="5"/>
        <v>0</v>
      </c>
    </row>
    <row r="210" spans="1:16" ht="30">
      <c r="A210" s="281">
        <v>908</v>
      </c>
      <c r="B210" s="278" t="s">
        <v>2010</v>
      </c>
      <c r="C210" s="278" t="s">
        <v>2013</v>
      </c>
      <c r="D210" s="278">
        <v>381199225</v>
      </c>
      <c r="E210" s="213" t="s">
        <v>2251</v>
      </c>
      <c r="F210" s="278" t="s">
        <v>2009</v>
      </c>
      <c r="G210" s="293" t="s">
        <v>2252</v>
      </c>
      <c r="H210" s="294" t="s">
        <v>2239</v>
      </c>
      <c r="I210">
        <v>18.989999999999998</v>
      </c>
      <c r="J210">
        <v>18.989999999999998</v>
      </c>
      <c r="P210" s="188">
        <f t="shared" ref="P210:P241" si="6">SUM(I210:O210)</f>
        <v>37.979999999999997</v>
      </c>
    </row>
    <row r="211" spans="1:16" ht="30">
      <c r="A211" s="281">
        <v>909</v>
      </c>
      <c r="B211" s="278" t="s">
        <v>2010</v>
      </c>
      <c r="C211" s="278" t="s">
        <v>2013</v>
      </c>
      <c r="D211" s="278">
        <v>381199225</v>
      </c>
      <c r="E211" s="213" t="s">
        <v>2253</v>
      </c>
      <c r="F211" s="278" t="s">
        <v>2009</v>
      </c>
      <c r="G211" s="293" t="s">
        <v>2254</v>
      </c>
      <c r="H211" s="294" t="s">
        <v>2108</v>
      </c>
      <c r="I211">
        <v>18.989999999999998</v>
      </c>
      <c r="J211">
        <v>18.989999999999998</v>
      </c>
      <c r="P211" s="188">
        <f t="shared" si="6"/>
        <v>37.979999999999997</v>
      </c>
    </row>
    <row r="212" spans="1:16">
      <c r="A212" s="277">
        <v>913</v>
      </c>
      <c r="B212" s="218" t="s">
        <v>2024</v>
      </c>
      <c r="C212" s="218" t="s">
        <v>2025</v>
      </c>
      <c r="D212" s="218">
        <v>832140239</v>
      </c>
      <c r="E212" s="210" t="s">
        <v>2255</v>
      </c>
      <c r="F212" s="261" t="s">
        <v>2009</v>
      </c>
      <c r="G212" s="8">
        <v>11992486475</v>
      </c>
      <c r="H212" s="338">
        <v>50.59</v>
      </c>
      <c r="I212">
        <v>50.59</v>
      </c>
      <c r="P212" s="188">
        <f t="shared" si="6"/>
        <v>50.59</v>
      </c>
    </row>
    <row r="213" spans="1:16" ht="30">
      <c r="A213" s="275">
        <v>915</v>
      </c>
      <c r="B213" s="278" t="s">
        <v>2024</v>
      </c>
      <c r="C213" s="278" t="s">
        <v>2025</v>
      </c>
      <c r="D213" s="278">
        <v>832140239</v>
      </c>
      <c r="E213" s="281" t="s">
        <v>2256</v>
      </c>
      <c r="F213" s="278" t="s">
        <v>2009</v>
      </c>
      <c r="G213" s="276" t="s">
        <v>2257</v>
      </c>
      <c r="H213" s="294" t="s">
        <v>2258</v>
      </c>
      <c r="I213">
        <v>50.59</v>
      </c>
      <c r="J213">
        <v>62.23</v>
      </c>
      <c r="P213" s="188">
        <f t="shared" si="6"/>
        <v>112.82</v>
      </c>
    </row>
    <row r="214" spans="1:16">
      <c r="A214" s="275">
        <v>912</v>
      </c>
      <c r="B214" s="210" t="s">
        <v>1358</v>
      </c>
      <c r="C214" s="210" t="s">
        <v>1358</v>
      </c>
      <c r="D214" s="210" t="s">
        <v>1358</v>
      </c>
      <c r="E214" s="213"/>
      <c r="F214" s="278" t="s">
        <v>2009</v>
      </c>
      <c r="G214" s="210" t="s">
        <v>1358</v>
      </c>
      <c r="H214" s="345">
        <v>0</v>
      </c>
      <c r="P214" s="188">
        <f t="shared" si="6"/>
        <v>0</v>
      </c>
    </row>
    <row r="215" spans="1:16">
      <c r="A215" s="274">
        <v>925</v>
      </c>
      <c r="B215" s="218" t="s">
        <v>2010</v>
      </c>
      <c r="C215" s="218" t="s">
        <v>2013</v>
      </c>
      <c r="D215" s="218">
        <v>381199225</v>
      </c>
      <c r="E215" s="210" t="s">
        <v>2259</v>
      </c>
      <c r="F215" s="261" t="s">
        <v>2009</v>
      </c>
      <c r="G215" s="8">
        <v>85996252929</v>
      </c>
      <c r="H215" s="338">
        <v>18.989999999999998</v>
      </c>
      <c r="I215">
        <v>18.989999999999998</v>
      </c>
      <c r="P215" s="188">
        <f t="shared" si="6"/>
        <v>18.989999999999998</v>
      </c>
    </row>
    <row r="216" spans="1:16">
      <c r="A216" s="277">
        <v>926</v>
      </c>
      <c r="B216" s="218" t="s">
        <v>2010</v>
      </c>
      <c r="C216" s="218" t="s">
        <v>2013</v>
      </c>
      <c r="D216" s="218">
        <v>381199225</v>
      </c>
      <c r="E216" s="210" t="s">
        <v>2260</v>
      </c>
      <c r="F216" s="261" t="s">
        <v>2009</v>
      </c>
      <c r="G216" s="8">
        <v>81981732455</v>
      </c>
      <c r="H216" s="338">
        <v>18.989999999999998</v>
      </c>
      <c r="I216">
        <v>18.989999999999998</v>
      </c>
      <c r="P216" s="188">
        <f t="shared" si="6"/>
        <v>18.989999999999998</v>
      </c>
    </row>
    <row r="217" spans="1:16">
      <c r="A217" s="275">
        <v>916</v>
      </c>
      <c r="B217" s="8" t="s">
        <v>1358</v>
      </c>
      <c r="C217" s="8" t="s">
        <v>1358</v>
      </c>
      <c r="D217" s="8" t="s">
        <v>1358</v>
      </c>
      <c r="E217" s="281"/>
      <c r="F217" s="278" t="s">
        <v>2009</v>
      </c>
      <c r="G217" s="8" t="s">
        <v>1358</v>
      </c>
      <c r="H217" s="325">
        <v>0</v>
      </c>
      <c r="P217" s="188">
        <f t="shared" si="6"/>
        <v>0</v>
      </c>
    </row>
    <row r="218" spans="1:16">
      <c r="A218" s="275">
        <v>919</v>
      </c>
      <c r="B218" s="8" t="s">
        <v>1358</v>
      </c>
      <c r="C218" s="8" t="s">
        <v>1358</v>
      </c>
      <c r="D218" s="8" t="s">
        <v>1358</v>
      </c>
      <c r="E218" s="281"/>
      <c r="F218" s="278" t="s">
        <v>2009</v>
      </c>
      <c r="G218" s="8" t="s">
        <v>1358</v>
      </c>
      <c r="H218" s="325">
        <v>0</v>
      </c>
      <c r="P218" s="188">
        <f t="shared" si="6"/>
        <v>0</v>
      </c>
    </row>
    <row r="219" spans="1:16">
      <c r="A219" s="275">
        <v>921</v>
      </c>
      <c r="B219" s="8" t="s">
        <v>1358</v>
      </c>
      <c r="C219" s="8" t="s">
        <v>1358</v>
      </c>
      <c r="D219" s="8" t="s">
        <v>1358</v>
      </c>
      <c r="E219" s="281"/>
      <c r="F219" s="278" t="s">
        <v>2009</v>
      </c>
      <c r="G219" s="8" t="s">
        <v>1358</v>
      </c>
      <c r="H219" s="325">
        <v>0</v>
      </c>
      <c r="P219" s="188">
        <f t="shared" si="6"/>
        <v>0</v>
      </c>
    </row>
    <row r="220" spans="1:16">
      <c r="A220" s="275">
        <v>922</v>
      </c>
      <c r="B220" s="210" t="s">
        <v>1358</v>
      </c>
      <c r="C220" s="210" t="s">
        <v>1358</v>
      </c>
      <c r="D220" s="210" t="s">
        <v>1358</v>
      </c>
      <c r="E220" s="281"/>
      <c r="F220" s="278" t="s">
        <v>2009</v>
      </c>
      <c r="G220" s="210" t="s">
        <v>1358</v>
      </c>
      <c r="H220" s="345">
        <v>0</v>
      </c>
      <c r="P220" s="188">
        <f t="shared" si="6"/>
        <v>0</v>
      </c>
    </row>
    <row r="221" spans="1:16">
      <c r="A221" s="275">
        <v>924</v>
      </c>
      <c r="B221" s="210" t="s">
        <v>1358</v>
      </c>
      <c r="C221" s="210" t="s">
        <v>1358</v>
      </c>
      <c r="D221" s="210" t="s">
        <v>1358</v>
      </c>
      <c r="E221" s="281"/>
      <c r="F221" s="278" t="s">
        <v>2009</v>
      </c>
      <c r="G221" s="210" t="s">
        <v>1358</v>
      </c>
      <c r="H221" s="345">
        <v>0</v>
      </c>
      <c r="P221" s="188">
        <f t="shared" si="6"/>
        <v>0</v>
      </c>
    </row>
    <row r="222" spans="1:16" ht="30">
      <c r="A222" s="281">
        <v>930</v>
      </c>
      <c r="B222" s="311" t="s">
        <v>2024</v>
      </c>
      <c r="C222" s="311" t="s">
        <v>2025</v>
      </c>
      <c r="D222" s="311">
        <v>167834114</v>
      </c>
      <c r="E222" s="281" t="s">
        <v>2261</v>
      </c>
      <c r="F222" s="278" t="s">
        <v>2009</v>
      </c>
      <c r="G222" s="362" t="s">
        <v>2262</v>
      </c>
      <c r="H222" s="366" t="s">
        <v>2263</v>
      </c>
      <c r="I222">
        <v>51.33</v>
      </c>
      <c r="J222">
        <v>51.33</v>
      </c>
      <c r="P222" s="188">
        <f t="shared" si="6"/>
        <v>102.66</v>
      </c>
    </row>
    <row r="223" spans="1:16">
      <c r="A223" s="274">
        <v>936</v>
      </c>
      <c r="B223" s="261" t="s">
        <v>2010</v>
      </c>
      <c r="C223" s="261" t="s">
        <v>2011</v>
      </c>
      <c r="D223" s="261">
        <v>362390541</v>
      </c>
      <c r="E223" s="274" t="s">
        <v>2264</v>
      </c>
      <c r="F223" s="261" t="s">
        <v>2009</v>
      </c>
      <c r="G223" s="261">
        <v>11998352723</v>
      </c>
      <c r="H223" s="307">
        <v>104.05</v>
      </c>
      <c r="I223">
        <v>104.05</v>
      </c>
      <c r="P223" s="188">
        <f t="shared" si="6"/>
        <v>104.05</v>
      </c>
    </row>
    <row r="224" spans="1:16">
      <c r="A224" s="277">
        <v>929</v>
      </c>
      <c r="B224" s="8" t="s">
        <v>1358</v>
      </c>
      <c r="C224" s="8" t="s">
        <v>1358</v>
      </c>
      <c r="D224" s="8" t="s">
        <v>1358</v>
      </c>
      <c r="E224" s="210"/>
      <c r="F224" s="278" t="s">
        <v>2009</v>
      </c>
      <c r="G224" s="8" t="s">
        <v>1358</v>
      </c>
      <c r="H224" s="325">
        <v>0</v>
      </c>
      <c r="P224" s="188">
        <f t="shared" si="6"/>
        <v>0</v>
      </c>
    </row>
    <row r="225" spans="1:16" ht="45">
      <c r="A225" s="275">
        <v>944</v>
      </c>
      <c r="B225" s="280" t="s">
        <v>2265</v>
      </c>
      <c r="C225" s="280" t="s">
        <v>2266</v>
      </c>
      <c r="D225" s="280" t="s">
        <v>2267</v>
      </c>
      <c r="E225" s="213" t="s">
        <v>2268</v>
      </c>
      <c r="F225" s="278" t="s">
        <v>2009</v>
      </c>
      <c r="G225" s="276" t="s">
        <v>2269</v>
      </c>
      <c r="H225" s="294" t="s">
        <v>2270</v>
      </c>
      <c r="I225">
        <v>62.23</v>
      </c>
      <c r="J225">
        <v>18.989999999999998</v>
      </c>
      <c r="K225">
        <v>31.09</v>
      </c>
      <c r="P225" s="188">
        <f t="shared" si="6"/>
        <v>112.31</v>
      </c>
    </row>
    <row r="226" spans="1:16">
      <c r="A226" s="275">
        <v>934</v>
      </c>
      <c r="B226" s="8" t="s">
        <v>1358</v>
      </c>
      <c r="C226" s="8" t="s">
        <v>1358</v>
      </c>
      <c r="D226" s="8" t="s">
        <v>1358</v>
      </c>
      <c r="E226" s="281"/>
      <c r="F226" s="278" t="s">
        <v>2009</v>
      </c>
      <c r="G226" s="8" t="s">
        <v>1358</v>
      </c>
      <c r="H226" s="325">
        <v>0</v>
      </c>
      <c r="P226" s="188">
        <f t="shared" si="6"/>
        <v>0</v>
      </c>
    </row>
    <row r="227" spans="1:16">
      <c r="A227" s="274">
        <v>951</v>
      </c>
      <c r="B227" s="218" t="s">
        <v>2010</v>
      </c>
      <c r="C227" s="218" t="s">
        <v>2011</v>
      </c>
      <c r="D227" s="218">
        <v>2027121479</v>
      </c>
      <c r="E227" s="210" t="s">
        <v>2271</v>
      </c>
      <c r="F227" s="261" t="s">
        <v>2009</v>
      </c>
      <c r="G227" s="8">
        <v>11972945060</v>
      </c>
      <c r="H227" s="338">
        <v>104.05</v>
      </c>
      <c r="I227">
        <v>104.05</v>
      </c>
      <c r="P227" s="188">
        <f t="shared" si="6"/>
        <v>104.05</v>
      </c>
    </row>
    <row r="228" spans="1:16">
      <c r="A228" s="277">
        <v>938</v>
      </c>
      <c r="B228" s="8" t="s">
        <v>1358</v>
      </c>
      <c r="C228" s="8" t="s">
        <v>1358</v>
      </c>
      <c r="D228" s="8" t="s">
        <v>1358</v>
      </c>
      <c r="E228" s="274"/>
      <c r="F228" s="278" t="s">
        <v>2009</v>
      </c>
      <c r="G228" s="8" t="s">
        <v>1358</v>
      </c>
      <c r="H228" s="325">
        <v>0</v>
      </c>
      <c r="P228" s="188">
        <f t="shared" si="6"/>
        <v>0</v>
      </c>
    </row>
    <row r="229" spans="1:16">
      <c r="A229" s="351">
        <v>939</v>
      </c>
      <c r="B229" s="68" t="s">
        <v>1358</v>
      </c>
      <c r="C229" s="8" t="s">
        <v>1358</v>
      </c>
      <c r="D229" s="8" t="s">
        <v>1358</v>
      </c>
      <c r="E229" s="274"/>
      <c r="F229" s="278" t="s">
        <v>2009</v>
      </c>
      <c r="G229" s="8" t="s">
        <v>1358</v>
      </c>
      <c r="H229" s="325">
        <v>0</v>
      </c>
      <c r="P229" s="188">
        <f t="shared" si="6"/>
        <v>0</v>
      </c>
    </row>
    <row r="230" spans="1:16">
      <c r="A230" s="360">
        <v>940</v>
      </c>
      <c r="B230" s="210" t="s">
        <v>1358</v>
      </c>
      <c r="C230" s="210" t="s">
        <v>1358</v>
      </c>
      <c r="D230" s="210" t="s">
        <v>1358</v>
      </c>
      <c r="E230" s="274"/>
      <c r="F230" s="278" t="s">
        <v>2009</v>
      </c>
      <c r="G230" s="210" t="s">
        <v>1358</v>
      </c>
      <c r="H230" s="345">
        <v>0</v>
      </c>
      <c r="P230" s="188">
        <f t="shared" si="6"/>
        <v>0</v>
      </c>
    </row>
    <row r="231" spans="1:16">
      <c r="A231" s="277">
        <v>943</v>
      </c>
      <c r="B231" s="210" t="s">
        <v>1358</v>
      </c>
      <c r="C231" s="210" t="s">
        <v>1358</v>
      </c>
      <c r="D231" s="210" t="s">
        <v>1358</v>
      </c>
      <c r="E231" s="274"/>
      <c r="F231" s="278" t="s">
        <v>2009</v>
      </c>
      <c r="G231" s="210" t="s">
        <v>1358</v>
      </c>
      <c r="H231" s="345">
        <v>0</v>
      </c>
      <c r="P231" s="188">
        <f t="shared" si="6"/>
        <v>0</v>
      </c>
    </row>
    <row r="232" spans="1:16" ht="75">
      <c r="A232" s="275">
        <v>957</v>
      </c>
      <c r="B232" s="278" t="s">
        <v>2024</v>
      </c>
      <c r="C232" s="278" t="s">
        <v>2025</v>
      </c>
      <c r="D232" s="278">
        <v>167736275</v>
      </c>
      <c r="E232" s="281" t="s">
        <v>2272</v>
      </c>
      <c r="F232" s="278" t="s">
        <v>2009</v>
      </c>
      <c r="G232" s="280" t="s">
        <v>2273</v>
      </c>
      <c r="H232" s="294" t="s">
        <v>2274</v>
      </c>
      <c r="I232">
        <v>39.78</v>
      </c>
      <c r="J232">
        <v>39.78</v>
      </c>
      <c r="K232">
        <v>39.78</v>
      </c>
      <c r="L232">
        <v>39.78</v>
      </c>
      <c r="M232">
        <v>143.79</v>
      </c>
      <c r="P232" s="188">
        <f t="shared" si="6"/>
        <v>302.90999999999997</v>
      </c>
    </row>
    <row r="233" spans="1:16" ht="45">
      <c r="A233" s="275">
        <v>958</v>
      </c>
      <c r="B233" s="339" t="s">
        <v>2010</v>
      </c>
      <c r="C233" s="340" t="s">
        <v>2275</v>
      </c>
      <c r="D233" s="339">
        <v>2027121479</v>
      </c>
      <c r="E233" s="229" t="s">
        <v>2276</v>
      </c>
      <c r="F233" s="339" t="s">
        <v>2009</v>
      </c>
      <c r="G233" s="341" t="s">
        <v>2277</v>
      </c>
      <c r="H233" s="342" t="s">
        <v>2278</v>
      </c>
      <c r="I233">
        <v>104.05</v>
      </c>
      <c r="J233">
        <v>18.989999999999998</v>
      </c>
      <c r="K233">
        <v>18.989999999999998</v>
      </c>
      <c r="P233" s="188">
        <f t="shared" si="6"/>
        <v>142.03</v>
      </c>
    </row>
    <row r="234" spans="1:16">
      <c r="A234" s="336">
        <v>8100</v>
      </c>
      <c r="B234" s="218" t="s">
        <v>2010</v>
      </c>
      <c r="C234" s="218" t="s">
        <v>2011</v>
      </c>
      <c r="D234" s="218">
        <v>2027121479</v>
      </c>
      <c r="E234" s="337">
        <v>8100</v>
      </c>
      <c r="F234" s="218" t="s">
        <v>2009</v>
      </c>
      <c r="G234" s="8">
        <v>11973726770</v>
      </c>
      <c r="H234" s="338">
        <v>204.05</v>
      </c>
      <c r="I234">
        <v>204.05</v>
      </c>
      <c r="P234" s="188">
        <f t="shared" si="6"/>
        <v>204.05</v>
      </c>
    </row>
    <row r="235" spans="1:16">
      <c r="A235" s="334"/>
      <c r="B235" s="6"/>
      <c r="F235" s="335"/>
      <c r="G235" s="6"/>
      <c r="P235" s="188"/>
    </row>
    <row r="236" spans="1:16">
      <c r="A236" s="334"/>
      <c r="B236" s="6"/>
      <c r="F236" s="335"/>
      <c r="G236" s="6"/>
    </row>
    <row r="237" spans="1:16">
      <c r="A237" s="315"/>
    </row>
  </sheetData>
  <autoFilter ref="A1:P1" xr:uid="{CA6650A6-F6C2-487D-86D7-9209B510762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62A1-18A3-4A73-8F6A-D69FE25EF9B0}">
  <dimension ref="A2:I21"/>
  <sheetViews>
    <sheetView workbookViewId="0">
      <selection activeCell="H12" sqref="H12:H13"/>
    </sheetView>
  </sheetViews>
  <sheetFormatPr defaultRowHeight="15"/>
  <cols>
    <col min="1" max="1" width="11.28515625" customWidth="1"/>
    <col min="2" max="2" width="12.7109375" bestFit="1" customWidth="1"/>
    <col min="3" max="3" width="16.5703125" customWidth="1"/>
    <col min="4" max="4" width="10.5703125" bestFit="1" customWidth="1"/>
    <col min="6" max="6" width="12" bestFit="1" customWidth="1"/>
    <col min="7" max="7" width="12.7109375" bestFit="1" customWidth="1"/>
    <col min="8" max="8" width="18.28515625" customWidth="1"/>
    <col min="9" max="9" width="12.85546875" customWidth="1"/>
  </cols>
  <sheetData>
    <row r="2" spans="1:9">
      <c r="A2" s="1129" t="s">
        <v>2279</v>
      </c>
      <c r="B2" s="1129"/>
      <c r="C2" s="1129"/>
      <c r="D2" s="1129"/>
      <c r="F2" s="1129" t="s">
        <v>2280</v>
      </c>
      <c r="G2" s="1129"/>
      <c r="H2" s="1129"/>
      <c r="I2" s="1129"/>
    </row>
    <row r="3" spans="1:9">
      <c r="A3" s="369" t="s">
        <v>14</v>
      </c>
      <c r="B3" s="8" t="s">
        <v>2281</v>
      </c>
      <c r="C3" s="8" t="s">
        <v>2282</v>
      </c>
      <c r="D3" s="8" t="s">
        <v>2283</v>
      </c>
      <c r="F3" s="369" t="s">
        <v>14</v>
      </c>
      <c r="G3" s="8" t="s">
        <v>2281</v>
      </c>
      <c r="H3" s="8" t="s">
        <v>2282</v>
      </c>
      <c r="I3" s="8" t="s">
        <v>2283</v>
      </c>
    </row>
    <row r="4" spans="1:9">
      <c r="A4" s="369" t="s">
        <v>1950</v>
      </c>
      <c r="B4" s="8">
        <f>COUNTIF('Detalhes Links Lojas'!D$2:D$216,"Embratel") + COUNTIF('Detalhes Links Lojas'!L$2:L$216,"Embratel")</f>
        <v>4</v>
      </c>
      <c r="C4" s="67">
        <f>SUMIF('Detalhes Links Lojas'!D$2:D$216,"Embratel",'Detalhes Links Lojas'!K$2:K$216) + SUMIF('Detalhes Links Lojas'!L$2:L$216,"Embratel",'Detalhes Links Lojas'!S$2:S$216)</f>
        <v>1862.71</v>
      </c>
      <c r="D4" s="67">
        <f t="shared" ref="D4:D10" si="0">IFERROR(C4/B4,0)</f>
        <v>465.67750000000001</v>
      </c>
      <c r="F4" s="369" t="s">
        <v>2284</v>
      </c>
      <c r="G4" s="8">
        <f>COUNTIF('Detalhes EC-EQX-CDs'!D$2:D$7,"Claro") + COUNTIF('Detalhes EC-EQX-CDs'!K$2:K$7,"Claro") + COUNTIF('Detalhes EC-EQX-CDs'!Z$2:Z$7,"Claro")</f>
        <v>2</v>
      </c>
      <c r="H4" s="67">
        <f>SUMIF('Detalhes EC-EQX-CDs'!D$2:D$7,"Claro",'Detalhes EC-EQX-CDs'!J$2:J$7) + SUMIF('Detalhes EC-EQX-CDs'!K$2:K$7,"Claro",'Detalhes EC-EQX-CDs'!Q$2:Q$7) + SUMIF('Detalhes EC-EQX-CDs'!Z$2:Z$7,"Claro",'Detalhes EC-EQX-CDs'!AF$2:AF$7)</f>
        <v>3876.3</v>
      </c>
      <c r="I4" s="67">
        <f>IFERROR(H4/G4,0)</f>
        <v>1938.15</v>
      </c>
    </row>
    <row r="5" spans="1:9">
      <c r="A5" s="369" t="s">
        <v>2284</v>
      </c>
      <c r="B5" s="8">
        <f>COUNTIF('Detalhes Links Lojas'!D$2:D$216,"Claro") + COUNTIF('Detalhes Links Lojas'!L$2:L$216,"Claro")</f>
        <v>175</v>
      </c>
      <c r="C5" s="67">
        <f>SUMIF('Detalhes Links Lojas'!D2:D216,"Claro",'Detalhes Links Lojas'!K2:K216) + SUMIF('Detalhes Links Lojas'!L2:L216,"Claro",'Detalhes Links Lojas'!S2:S216)</f>
        <v>71848.239999999918</v>
      </c>
      <c r="D5" s="67">
        <f t="shared" si="0"/>
        <v>410.56137142857096</v>
      </c>
      <c r="F5" s="369" t="s">
        <v>1954</v>
      </c>
      <c r="G5" s="8">
        <f>COUNTIF('Detalhes EC-EQX-CDs'!D$2:D$7,"Vivo") + COUNTIF('Detalhes EC-EQX-CDs'!K$2:K$7,"Vivo") + COUNTIF('Detalhes EC-EQX-CDs'!Z$2:Z$7,"Vivo")</f>
        <v>4</v>
      </c>
      <c r="H5" s="67">
        <f>SUMIF('Detalhes EC-EQX-CDs'!D$2:D$7,"Vivo",'Detalhes EC-EQX-CDs'!J$2:J$7) + SUMIF('Detalhes EC-EQX-CDs'!K$2:K$7,"Vivo",'Detalhes EC-EQX-CDs'!Q$2:Q$7) + SUMIF('Detalhes EC-EQX-CDs'!Z$2:Z$7,"Vivo",'Detalhes EC-EQX-CDs'!AF$2:AF$7)</f>
        <v>9800.1899999999987</v>
      </c>
      <c r="I5" s="67">
        <f>IFERROR(H5/G5,0)</f>
        <v>2450.0474999999997</v>
      </c>
    </row>
    <row r="6" spans="1:9">
      <c r="A6" s="369" t="s">
        <v>1954</v>
      </c>
      <c r="B6" s="8">
        <f>COUNTIF('Detalhes Links Lojas'!D$2:D$216,"Vivo") + COUNTIF('Detalhes Links Lojas'!L$2:L$216,"Vivo")</f>
        <v>76</v>
      </c>
      <c r="C6" s="67">
        <f>SUMIF('Detalhes Links Lojas'!D2:D216,"Vivo",'Detalhes Links Lojas'!K2:K216) + SUMIF('Detalhes Links Lojas'!L2:L216,"Vivo",'Detalhes Links Lojas'!S2:S216)</f>
        <v>22187.439999999995</v>
      </c>
      <c r="D6" s="67">
        <f t="shared" si="0"/>
        <v>291.93999999999994</v>
      </c>
      <c r="F6" s="369" t="s">
        <v>2285</v>
      </c>
      <c r="G6" s="8">
        <f>COUNTIF('Detalhes EC-EQX-CDs'!D$2:D$7,"Fibrion") + COUNTIF('Detalhes EC-EQX-CDs'!K$2:K$7,"Fibrion") + COUNTIF('Detalhes EC-EQX-CDs'!Z$2:Z$7,"Fibrion")</f>
        <v>1</v>
      </c>
      <c r="H6" s="67">
        <f>SUMIF('Detalhes EC-EQX-CDs'!D$2:D$7,"Fibrion",'Detalhes EC-EQX-CDs'!J$2:J$7) + SUMIF('Detalhes EC-EQX-CDs'!K$2:K$7,"Fibrion",'Detalhes EC-EQX-CDs'!Q$2:Q$7) + SUMIF('Detalhes EC-EQX-CDs'!Z$2:Z$7,"Fibrion",'Detalhes EC-EQX-CDs'!AF$2:AF$7)</f>
        <v>430</v>
      </c>
      <c r="I6" s="67">
        <f>IFERROR(H6/G6,0)</f>
        <v>430</v>
      </c>
    </row>
    <row r="7" spans="1:9">
      <c r="A7" s="369" t="s">
        <v>2285</v>
      </c>
      <c r="B7" s="8">
        <f>COUNTIF('Detalhes Links Lojas'!D$2:D$216,"Fibrion") + COUNTIF('Detalhes Links Lojas'!L$2:L$216,"Fibrion")</f>
        <v>28</v>
      </c>
      <c r="C7" s="67">
        <f>SUMIF('Detalhes Links Lojas'!D2:D216,"Fibrion",'Detalhes Links Lojas'!K2:K216) + SUMIF('Detalhes Links Lojas'!L2:L216,"Fibrion",'Detalhes Links Lojas'!S2:S216)</f>
        <v>14240.720000000001</v>
      </c>
      <c r="D7" s="67">
        <f t="shared" si="0"/>
        <v>508.5971428571429</v>
      </c>
      <c r="F7" s="400" t="s">
        <v>2286</v>
      </c>
      <c r="G7" s="8">
        <f>COUNTIF('Detalhes EC-EQX-CDs'!D$2:D$7,"Mundivox") + COUNTIF('Detalhes EC-EQX-CDs'!K$2:K$7,"Mundivox") + COUNTIF('Detalhes EC-EQX-CDs'!Z$2:Z$7,"Mundivox")</f>
        <v>1</v>
      </c>
      <c r="H7" s="67">
        <f>SUMIF('Detalhes EC-EQX-CDs'!D$2:D$7,"Mundivox",'Detalhes EC-EQX-CDs'!J$2:J$7) + SUMIF('Detalhes EC-EQX-CDs'!K$2:K$7,"Mundivox",'Detalhes EC-EQX-CDs'!Q$2:Q$7) + SUMIF('Detalhes EC-EQX-CDs'!Z$2:Z$7,"Mundivox",'Detalhes EC-EQX-CDs'!AF$2:AF$7)</f>
        <v>2750</v>
      </c>
      <c r="I7" s="85">
        <f>IFERROR(H7/G7,0)</f>
        <v>2750</v>
      </c>
    </row>
    <row r="8" spans="1:9">
      <c r="A8" s="369" t="s">
        <v>2287</v>
      </c>
      <c r="B8" s="8">
        <f>COUNTIF('Detalhes Links Lojas'!D$2:D$216,"Vero") + COUNTIF('Detalhes Links Lojas'!L$2:L$216,"Vero")</f>
        <v>66</v>
      </c>
      <c r="C8" s="67">
        <f>SUMIF('Detalhes Links Lojas'!D2:D216,"Vero",'Detalhes Links Lojas'!K2:K216) + SUMIF('Detalhes Links Lojas'!L2:L216,"Vero",'Detalhes Links Lojas'!S2:S216)</f>
        <v>19667.810000000005</v>
      </c>
      <c r="D8" s="67">
        <f t="shared" si="0"/>
        <v>297.99712121212127</v>
      </c>
      <c r="F8" s="17" t="s">
        <v>1956</v>
      </c>
      <c r="G8" s="8">
        <f>COUNTIF('Detalhes EC-EQX-CDs'!D$2:D$7,"Algar") + COUNTIF('Detalhes EC-EQX-CDs'!K$2:K$7,"Algar") + COUNTIF('Detalhes EC-EQX-CDs'!Z$2:Z$7,"Algar")</f>
        <v>3</v>
      </c>
      <c r="H8" s="67">
        <f>SUMIF('Detalhes EC-EQX-CDs'!D$2:D$7,"Algar",'Detalhes EC-EQX-CDs'!J$2:J$7) + SUMIF('Detalhes EC-EQX-CDs'!K$2:K$7,"Algar",'Detalhes EC-EQX-CDs'!Q$2:Q$7) + SUMIF('Detalhes EC-EQX-CDs'!Z$2:Z$7,"Algar",'Detalhes EC-EQX-CDs'!AF$2:AF$7)</f>
        <v>2085.81</v>
      </c>
      <c r="I8" s="85">
        <f t="shared" ref="I8:I9" si="1">IFERROR(H8/G8,0)</f>
        <v>695.27</v>
      </c>
    </row>
    <row r="9" spans="1:9">
      <c r="A9" s="369" t="s">
        <v>2286</v>
      </c>
      <c r="B9" s="8">
        <f>COUNTIF('Detalhes Links Lojas'!D$2:D$216,"Mundivox") + COUNTIF('Detalhes Links Lojas'!L$2:L$216,"Mundivox")</f>
        <v>24</v>
      </c>
      <c r="C9" s="67">
        <f>SUMIF('Detalhes Links Lojas'!D2:D216,"Mundivox",'Detalhes Links Lojas'!K2:K216) + SUMIF('Detalhes Links Lojas'!L2:L216,"Mundivox",'Detalhes Links Lojas'!S2:S216)</f>
        <v>9291.91</v>
      </c>
      <c r="D9" s="67">
        <f t="shared" si="0"/>
        <v>387.16291666666666</v>
      </c>
      <c r="F9" s="17" t="s">
        <v>2288</v>
      </c>
      <c r="G9" s="17">
        <f>COUNTIF('Detalhes EC-EQX-CDs'!D$2:D$7,"Megatelecom") + COUNTIF('Detalhes EC-EQX-CDs'!K$2:K$7,"Megatelecom") + COUNTIF('Detalhes EC-EQX-CDs'!Z$2:Z$7,"Megatelecom")</f>
        <v>1</v>
      </c>
      <c r="H9" s="85">
        <f>SUMIF('Detalhes EC-EQX-CDs'!D$2:D$7,"Megatelecom",'Detalhes EC-EQX-CDs'!J$2:J$7) + SUMIF('Detalhes EC-EQX-CDs'!K$2:K$7,"Megatelecom",'Detalhes EC-EQX-CDs'!Q$2:Q$7) + SUMIF('Detalhes EC-EQX-CDs'!Z$2:Z$7,"Megatelecom",'Detalhes EC-EQX-CDs'!AF$2:AF$7)</f>
        <v>997.79</v>
      </c>
      <c r="I9" s="67">
        <f t="shared" si="1"/>
        <v>997.79</v>
      </c>
    </row>
    <row r="10" spans="1:9">
      <c r="A10" s="369" t="s">
        <v>2289</v>
      </c>
      <c r="B10" s="8">
        <f>COUNTIF('Detalhes Links Lojas'!D$2:D$216,"Oi") + COUNTIF('Detalhes Links Lojas'!L$2:L$216,"Oi")</f>
        <v>3</v>
      </c>
      <c r="C10" s="67">
        <f>SUMIF('Detalhes Links Lojas'!D$2:D$216,"Oi",'Detalhes Links Lojas'!K$2:K$216) + SUMIF('Detalhes Links Lojas'!L$2:L$216,"Oi",'Detalhes Links Lojas'!S$2:S$216)</f>
        <v>2114.52</v>
      </c>
      <c r="D10" s="67">
        <f t="shared" si="0"/>
        <v>704.84</v>
      </c>
      <c r="F10" s="1074" t="s">
        <v>24</v>
      </c>
      <c r="G10" s="4">
        <f>SUM(G4:G9)</f>
        <v>12</v>
      </c>
      <c r="H10" s="1075">
        <f>SUM(H4:H9)</f>
        <v>19940.09</v>
      </c>
      <c r="I10" s="399"/>
    </row>
    <row r="11" spans="1:9">
      <c r="A11" s="369" t="s">
        <v>1956</v>
      </c>
      <c r="B11" s="8">
        <f>COUNTIF('Detalhes Links Lojas'!D$2:D$216,"Algar") + COUNTIF('Detalhes Links Lojas'!L$2:L$216,"Algar")</f>
        <v>21</v>
      </c>
      <c r="C11" s="67">
        <f>SUMIF('Detalhes Links Lojas'!D$2:D$216,"Algar",'Detalhes Links Lojas'!K$2:K$216) + SUMIF('Detalhes Links Lojas'!L$2:L$216,"Algar",'Detalhes Links Lojas'!S$2:S$216)</f>
        <v>9089.7900000000009</v>
      </c>
      <c r="D11" s="67">
        <f t="shared" ref="D11:D20" si="2">IFERROR(C11/B11,0)</f>
        <v>432.8471428571429</v>
      </c>
    </row>
    <row r="12" spans="1:9">
      <c r="A12" s="369" t="s">
        <v>2290</v>
      </c>
      <c r="B12" s="8">
        <f>COUNTIF('Detalhes Links Lojas'!D$2:D$216,"SEA Telecom") + COUNTIF('Detalhes Links Lojas'!L$2:L$216,"SEA Telecom")</f>
        <v>1</v>
      </c>
      <c r="C12" s="67">
        <f>SUMIF('Detalhes Links Lojas'!D$2:D$216,"SEA Telecom",'Detalhes Links Lojas'!K$2:K$216) + SUMIF('Detalhes Links Lojas'!L$2:L$216,"SEA Telecom",'Detalhes Links Lojas'!S$2:S$216)</f>
        <v>189</v>
      </c>
      <c r="D12" s="67">
        <f t="shared" si="2"/>
        <v>189</v>
      </c>
      <c r="F12" s="1130" t="s">
        <v>2291</v>
      </c>
      <c r="G12" s="1131"/>
      <c r="H12" s="1138">
        <f>SUM('Por Loja'!D2:D216)</f>
        <v>215</v>
      </c>
    </row>
    <row r="13" spans="1:9">
      <c r="A13" s="369" t="s">
        <v>2292</v>
      </c>
      <c r="B13" s="8">
        <f>COUNTIF('Detalhes Links Lojas'!D$2:D$216,"SP18") + COUNTIF('Detalhes Links Lojas'!L$2:L$216,"SP18")</f>
        <v>2</v>
      </c>
      <c r="C13" s="67">
        <f>SUMIF('Detalhes Links Lojas'!D$2:D$216,"SP18",'Detalhes Links Lojas'!K$2:K$216) + SUMIF('Detalhes Links Lojas'!L$2:L$216,"SP18",'Detalhes Links Lojas'!S$2:S$216)</f>
        <v>1214.28</v>
      </c>
      <c r="D13" s="67">
        <f t="shared" si="2"/>
        <v>607.14</v>
      </c>
      <c r="F13" s="1132"/>
      <c r="G13" s="1133"/>
      <c r="H13" s="1139"/>
      <c r="I13" s="399"/>
    </row>
    <row r="14" spans="1:9">
      <c r="A14" s="369" t="s">
        <v>2293</v>
      </c>
      <c r="B14" s="8">
        <f>COUNTIF('Detalhes Links Lojas'!D$2:D$216,"Tesa") + COUNTIF('Detalhes Links Lojas'!L$2:L$216,"Tesa")</f>
        <v>2</v>
      </c>
      <c r="C14" s="67">
        <f>SUMIF('Detalhes Links Lojas'!D$2:D$216,"Tesa",'Detalhes Links Lojas'!K$2:K$216) + SUMIF('Detalhes Links Lojas'!L$2:L$216,"Tesa",'Detalhes Links Lojas'!S$2:S$216)</f>
        <v>1409.23</v>
      </c>
      <c r="D14" s="67">
        <f t="shared" si="2"/>
        <v>704.61500000000001</v>
      </c>
      <c r="F14" s="885"/>
      <c r="G14" s="885"/>
      <c r="H14" s="886"/>
    </row>
    <row r="15" spans="1:9">
      <c r="A15" s="369" t="s">
        <v>2294</v>
      </c>
      <c r="B15" s="8">
        <f>COUNTIF('Detalhes Links Lojas'!D$2:D$216,"Wipi") + COUNTIF('Detalhes Links Lojas'!L$2:L$216,"Wipi")</f>
        <v>1</v>
      </c>
      <c r="C15" s="67">
        <f>SUMIF('Detalhes Links Lojas'!D$2:D$216,"Wipi",'Detalhes Links Lojas'!K$2:K$216) + SUMIF('Detalhes Links Lojas'!L$2:L$216,"Wipi",'Detalhes Links Lojas'!S$2:S$216)</f>
        <v>710</v>
      </c>
      <c r="D15" s="67">
        <f t="shared" si="2"/>
        <v>710</v>
      </c>
      <c r="F15" s="1130" t="s">
        <v>2295</v>
      </c>
      <c r="G15" s="1131"/>
      <c r="H15" s="1136">
        <f>SUM(B21+G10)</f>
        <v>441</v>
      </c>
    </row>
    <row r="16" spans="1:9">
      <c r="A16" s="369" t="s">
        <v>2288</v>
      </c>
      <c r="B16" s="8">
        <f>COUNTIF('Detalhes Links Lojas'!D$2:D$216,"Megatelecom") + COUNTIF('Detalhes Links Lojas'!L$2:L$216,"Megatelecom")</f>
        <v>0</v>
      </c>
      <c r="C16" s="67">
        <f>SUMIF('Detalhes Links Lojas'!D$2:D$216,"Megatelecom",'Detalhes Links Lojas'!K$2:K$216) + SUMIF('Detalhes Links Lojas'!L$2:L$216,"Megatelecom",'Detalhes Links Lojas'!S$2:S$216)</f>
        <v>0</v>
      </c>
      <c r="D16" s="67">
        <f t="shared" si="2"/>
        <v>0</v>
      </c>
      <c r="F16" s="1132"/>
      <c r="G16" s="1133"/>
      <c r="H16" s="1137"/>
    </row>
    <row r="17" spans="1:8">
      <c r="A17" s="369" t="s">
        <v>2296</v>
      </c>
      <c r="B17" s="8">
        <f>COUNTIF('Detalhes Links Lojas'!D$2:D$216,"WFT/AST") + COUNTIF('Detalhes Links Lojas'!L$2:L$216,"WFT/AST")</f>
        <v>1</v>
      </c>
      <c r="C17" s="67">
        <f>SUMIF('Detalhes Links Lojas'!D$2:D$216,"WFT/AST",'Detalhes Links Lojas'!K$2:K$216) + SUMIF('Detalhes Links Lojas'!L$2:L$216,"WFT/AST",'Detalhes Links Lojas'!S$2:S$216)</f>
        <v>200</v>
      </c>
      <c r="D17" s="67">
        <f t="shared" si="2"/>
        <v>200</v>
      </c>
    </row>
    <row r="18" spans="1:8">
      <c r="A18" s="369" t="s">
        <v>2297</v>
      </c>
      <c r="B18" s="8">
        <f>COUNTIF('Detalhes Links Lojas'!D$2:D$216,"Vtal") + COUNTIF('Detalhes Links Lojas'!L$2:L$216,"Vtal")</f>
        <v>21</v>
      </c>
      <c r="C18" s="67">
        <f>SUMIF('Detalhes Links Lojas'!D$2:D$216,"Vtal",'Detalhes Links Lojas'!K$2:K$216) + SUMIF('Detalhes Links Lojas'!L$2:L$216,"Vtal",'Detalhes Links Lojas'!S$2:S$216)</f>
        <v>6694.630000000001</v>
      </c>
      <c r="D18" s="67">
        <f t="shared" si="2"/>
        <v>318.79190476190479</v>
      </c>
      <c r="F18" s="1130" t="s">
        <v>2298</v>
      </c>
      <c r="G18" s="1131"/>
      <c r="H18" s="1134">
        <f>SUM(C21+H10)</f>
        <v>181880.26999999993</v>
      </c>
    </row>
    <row r="19" spans="1:8">
      <c r="A19" s="369" t="s">
        <v>2299</v>
      </c>
      <c r="B19" s="8">
        <f>COUNTIF('Detalhes Links Lojas'!D$2:D$216,"Irapido") + COUNTIF('Detalhes Links Lojas'!L$2:L$216,"Irapido")</f>
        <v>3</v>
      </c>
      <c r="C19" s="67">
        <f>SUMIF('Detalhes Links Lojas'!D$2:D$216,"Irapido",'Detalhes Links Lojas'!K$2:K$216) + SUMIF('Detalhes Links Lojas'!L$2:L$216,"Irapido",'Detalhes Links Lojas'!S$2:S$216)</f>
        <v>900</v>
      </c>
      <c r="D19" s="67">
        <f t="shared" si="2"/>
        <v>300</v>
      </c>
      <c r="F19" s="1132"/>
      <c r="G19" s="1133"/>
      <c r="H19" s="1135"/>
    </row>
    <row r="20" spans="1:8">
      <c r="A20" s="400" t="s">
        <v>2300</v>
      </c>
      <c r="B20" s="17">
        <f>COUNTIF('Detalhes Links Lojas'!D$2:D$216,"ITS Brasil") + COUNTIF('Detalhes Links Lojas'!L$2:L$216,"ITS Brasil")</f>
        <v>1</v>
      </c>
      <c r="C20" s="85">
        <f>SUMIF('Detalhes Links Lojas'!D$2:D$216,"ITS Brasil",'Detalhes Links Lojas'!K$2:K$216) + SUMIF('Detalhes Links Lojas'!L$2:L$216,"ITS Brasil",'Detalhes Links Lojas'!S$2:S$216)</f>
        <v>319.89999999999998</v>
      </c>
      <c r="D20" s="67">
        <f t="shared" si="2"/>
        <v>319.89999999999998</v>
      </c>
    </row>
    <row r="21" spans="1:8">
      <c r="A21" s="4" t="s">
        <v>24</v>
      </c>
      <c r="B21" s="4">
        <f>SUM(B4:B20)</f>
        <v>429</v>
      </c>
      <c r="C21" s="1073">
        <f>SUM(C4:C20)</f>
        <v>161940.17999999993</v>
      </c>
    </row>
  </sheetData>
  <mergeCells count="8">
    <mergeCell ref="A2:D2"/>
    <mergeCell ref="F2:I2"/>
    <mergeCell ref="F18:G19"/>
    <mergeCell ref="H18:H19"/>
    <mergeCell ref="F15:G16"/>
    <mergeCell ref="H15:H16"/>
    <mergeCell ref="F12:G13"/>
    <mergeCell ref="H12:H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2DD6-1FF0-4D54-AB30-71425CE353C0}">
  <dimension ref="A1:K48"/>
  <sheetViews>
    <sheetView showGridLines="0" workbookViewId="0">
      <selection activeCell="B9" sqref="B9"/>
    </sheetView>
  </sheetViews>
  <sheetFormatPr defaultRowHeight="15"/>
  <cols>
    <col min="1" max="1" width="16" style="6" bestFit="1" customWidth="1"/>
    <col min="2" max="2" width="15.42578125" style="6" bestFit="1" customWidth="1"/>
    <col min="3" max="3" width="15.42578125" style="6" customWidth="1"/>
    <col min="4" max="4" width="20.42578125" style="6" customWidth="1"/>
    <col min="5" max="7" width="15.140625" style="6" bestFit="1" customWidth="1"/>
    <col min="9" max="9" width="15.85546875" customWidth="1"/>
    <col min="10" max="10" width="12.85546875" customWidth="1"/>
    <col min="11" max="11" width="15.7109375" customWidth="1"/>
  </cols>
  <sheetData>
    <row r="1" spans="1:11">
      <c r="A1" s="142" t="s">
        <v>2301</v>
      </c>
      <c r="B1" s="143" t="s">
        <v>1949</v>
      </c>
      <c r="C1" s="567" t="s">
        <v>2302</v>
      </c>
      <c r="D1" s="145" t="s">
        <v>2303</v>
      </c>
      <c r="E1" s="146" t="s">
        <v>2304</v>
      </c>
      <c r="F1" s="744" t="s">
        <v>2305</v>
      </c>
      <c r="G1" s="148" t="s">
        <v>2306</v>
      </c>
    </row>
    <row r="2" spans="1:11">
      <c r="A2" s="137" t="s">
        <v>1939</v>
      </c>
      <c r="B2" s="137" t="s">
        <v>1949</v>
      </c>
      <c r="C2" s="137" t="s">
        <v>2307</v>
      </c>
      <c r="D2" s="137" t="s">
        <v>2308</v>
      </c>
      <c r="E2" s="137" t="s">
        <v>2309</v>
      </c>
      <c r="F2" s="137" t="s">
        <v>2310</v>
      </c>
      <c r="G2" s="137" t="s">
        <v>2311</v>
      </c>
    </row>
    <row r="3" spans="1:11">
      <c r="A3" s="598" t="s">
        <v>2312</v>
      </c>
      <c r="B3" s="1058" t="s">
        <v>2284</v>
      </c>
      <c r="C3" s="1057" t="s">
        <v>1954</v>
      </c>
      <c r="D3" s="992" t="str">
        <f>VLOOKUP($D$2,'Detalhes EC-EQX-CDs'!$A$2:$AF$7,4,FALSE)</f>
        <v>Vivo</v>
      </c>
      <c r="E3" s="974" t="str">
        <f>VLOOKUP($E$2,'Detalhes EC-EQX-CDs'!$A$2:$AF$7,4,FALSE)</f>
        <v>Algar</v>
      </c>
      <c r="F3" s="974" t="str">
        <f>VLOOKUP($F$2,'Detalhes EC-EQX-CDs'!$A$2:$AF$7,4,FALSE)</f>
        <v>Algar</v>
      </c>
      <c r="G3" s="974" t="str">
        <f>VLOOKUP($G$2,'Detalhes EC-EQX-CDs'!$A$2:$AF$7,4,FALSE)</f>
        <v>Algar</v>
      </c>
      <c r="I3" s="745" t="s">
        <v>2301</v>
      </c>
      <c r="J3" s="746" t="s">
        <v>2313</v>
      </c>
      <c r="K3" s="747" t="s">
        <v>2314</v>
      </c>
    </row>
    <row r="4" spans="1:11">
      <c r="A4" s="599" t="s">
        <v>2315</v>
      </c>
      <c r="B4" s="595" t="s">
        <v>1951</v>
      </c>
      <c r="C4" s="1063" t="s">
        <v>1951</v>
      </c>
      <c r="D4" s="981" t="str">
        <f>VLOOKUP($D$2,'Detalhes EC-EQX-CDs'!$A$2:$AF$7,9,FALSE)</f>
        <v>Dedicado</v>
      </c>
      <c r="E4" s="975" t="str">
        <f>VLOOKUP($E$2,'Detalhes EC-EQX-CDs'!$A$2:$AF$7,9,FALSE)</f>
        <v>Dedicado</v>
      </c>
      <c r="F4" s="975" t="str">
        <f>VLOOKUP($F$2,'Detalhes EC-EQX-CDs'!$A$2:$AF$7,9,FALSE)</f>
        <v>Dedicado</v>
      </c>
      <c r="G4" s="975" t="str">
        <f>VLOOKUP($G$2,'Detalhes EC-EQX-CDs'!$A$2:$AF$7,9,FALSE)</f>
        <v>Dedicado</v>
      </c>
      <c r="I4" s="748" t="s">
        <v>1949</v>
      </c>
      <c r="J4" s="749">
        <v>3</v>
      </c>
      <c r="K4" s="750">
        <f>SUM(B8+B15+B22)</f>
        <v>9064.2999999999993</v>
      </c>
    </row>
    <row r="5" spans="1:11">
      <c r="A5" s="599" t="s">
        <v>2316</v>
      </c>
      <c r="B5" s="991" t="s">
        <v>2317</v>
      </c>
      <c r="C5" s="1063" t="s">
        <v>1955</v>
      </c>
      <c r="D5" s="981" t="str">
        <f>VLOOKUP($D$2,'Detalhes EC-EQX-CDs'!$A$2:$AF$7,8,FALSE)</f>
        <v>200Mb</v>
      </c>
      <c r="E5" s="975" t="str">
        <f>VLOOKUP($E$2,'Detalhes EC-EQX-CDs'!$A$2:$AF$7,8,FALSE)</f>
        <v>20Mb</v>
      </c>
      <c r="F5" s="975" t="str">
        <f>VLOOKUP($F$2,'Detalhes EC-EQX-CDs'!$A$2:$AF$7,8,FALSE)</f>
        <v>10Mb</v>
      </c>
      <c r="G5" s="975" t="str">
        <f>VLOOKUP($G$2,'Detalhes EC-EQX-CDs'!$A$2:$AF$7,8,FALSE)</f>
        <v>20Mb</v>
      </c>
      <c r="I5" s="751" t="s">
        <v>1971</v>
      </c>
      <c r="J5" s="749">
        <v>2</v>
      </c>
      <c r="K5" s="750">
        <f>SUM(D8+D15)</f>
        <v>2340.0299999999997</v>
      </c>
    </row>
    <row r="6" spans="1:11">
      <c r="A6" s="599" t="s">
        <v>2318</v>
      </c>
      <c r="B6" s="596">
        <v>46112</v>
      </c>
      <c r="C6" s="1064">
        <v>45568</v>
      </c>
      <c r="D6" s="982">
        <f>VLOOKUP($D$2,'Detalhes EC-EQX-CDs'!$A$2:$AF$7,5,FALSE)</f>
        <v>45338</v>
      </c>
      <c r="E6" s="976">
        <f>VLOOKUP($E$2,'Detalhes EC-EQX-CDs'!$A$2:$AF$7,5,FALSE)</f>
        <v>44596</v>
      </c>
      <c r="F6" s="976">
        <f>VLOOKUP($F$2,'Detalhes EC-EQX-CDs'!$A$2:$AF$7,5,FALSE)</f>
        <v>44617</v>
      </c>
      <c r="G6" s="976">
        <f>VLOOKUP($G$2,'Detalhes EC-EQX-CDs'!$A$2:$AF$7,5,FALSE)</f>
        <v>44589</v>
      </c>
      <c r="I6" s="752" t="s">
        <v>1979</v>
      </c>
      <c r="J6" s="749">
        <v>2</v>
      </c>
      <c r="K6" s="750">
        <f>SUM(E8+E15)</f>
        <v>1986.5</v>
      </c>
    </row>
    <row r="7" spans="1:11">
      <c r="A7" s="599" t="s">
        <v>2319</v>
      </c>
      <c r="B7" s="596">
        <v>47208</v>
      </c>
      <c r="C7" s="1064">
        <v>46663</v>
      </c>
      <c r="D7" s="993">
        <f>VLOOKUP($D$2,'Detalhes EC-EQX-CDs'!$A$2:$AF$7,6,FALSE)</f>
        <v>46434</v>
      </c>
      <c r="E7" s="979" t="str">
        <f>VLOOKUP($E$2,'Detalhes EC-EQX-CDs'!$A$2:$AF$7,6,FALSE)</f>
        <v>Vencido</v>
      </c>
      <c r="F7" s="979" t="str">
        <f>VLOOKUP($F$2,'Detalhes EC-EQX-CDs'!$A$2:$AF$7,6,FALSE)</f>
        <v>Vencido</v>
      </c>
      <c r="G7" s="979" t="str">
        <f>VLOOKUP($G$2,'Detalhes EC-EQX-CDs'!$A$2:$AF$7,6,FALSE)</f>
        <v>Vencido</v>
      </c>
      <c r="I7" s="753" t="s">
        <v>1985</v>
      </c>
      <c r="J7" s="749">
        <v>2</v>
      </c>
      <c r="K7" s="750">
        <f>SUM(F8+F15)</f>
        <v>850.62</v>
      </c>
    </row>
    <row r="8" spans="1:11">
      <c r="A8" s="599" t="s">
        <v>2314</v>
      </c>
      <c r="B8" s="655">
        <v>2914.3</v>
      </c>
      <c r="C8" s="1065">
        <v>4110.16</v>
      </c>
      <c r="D8" s="983">
        <f>VLOOKUP($D$2,'Detalhes EC-EQX-CDs'!$A$2:$AF$7,10,FALSE)</f>
        <v>1910.03</v>
      </c>
      <c r="E8" s="978">
        <f>VLOOKUP($E$2,'Detalhes EC-EQX-CDs'!$A$2:$AF$7,10,FALSE)</f>
        <v>1024.5</v>
      </c>
      <c r="F8" s="978">
        <f>VLOOKUP($F$2,'Detalhes EC-EQX-CDs'!$A$2:$AF$7,10,FALSE)</f>
        <v>470.62</v>
      </c>
      <c r="G8" s="978">
        <f>VLOOKUP($G$2,'Detalhes EC-EQX-CDs'!$A$2:$AF$7,10,FALSE)</f>
        <v>590.69000000000005</v>
      </c>
      <c r="I8" s="754" t="s">
        <v>1935</v>
      </c>
      <c r="J8" s="749">
        <v>2</v>
      </c>
      <c r="K8" s="750">
        <f>SUM(G8+G15)</f>
        <v>1588.48</v>
      </c>
    </row>
    <row r="9" spans="1:11">
      <c r="A9" s="599" t="s">
        <v>2320</v>
      </c>
      <c r="B9" s="693" t="s">
        <v>1953</v>
      </c>
      <c r="C9" s="1066">
        <v>110005641701194</v>
      </c>
      <c r="D9" s="981" t="str">
        <f>VLOOKUP($D$2,'Detalhes EC-EQX-CDs'!$A$2:$AF$7,7,FALSE)</f>
        <v>113004643101796</v>
      </c>
      <c r="E9" s="975" t="str">
        <f>VLOOKUP($E$2,'Detalhes EC-EQX-CDs'!$A$2:$AF$7,7,FALSE)</f>
        <v>8756818/8756819</v>
      </c>
      <c r="F9" s="975" t="str">
        <f>VLOOKUP($F$2,'Detalhes EC-EQX-CDs'!$A$2:$AF$7,7,FALSE)</f>
        <v>8754445/8754447</v>
      </c>
      <c r="G9" s="975" t="str">
        <f>VLOOKUP($G$2,'Detalhes EC-EQX-CDs'!$A$2:$AF$7,7,FALSE)</f>
        <v>8754444/8754446</v>
      </c>
      <c r="I9" s="755" t="s">
        <v>2321</v>
      </c>
      <c r="J9" s="756">
        <v>1</v>
      </c>
      <c r="K9" s="750">
        <f>SUM(C8+C15+C22+C29)</f>
        <v>4110.16</v>
      </c>
    </row>
    <row r="10" spans="1:11">
      <c r="A10" s="598" t="s">
        <v>2322</v>
      </c>
      <c r="B10" s="1059" t="s">
        <v>2286</v>
      </c>
      <c r="C10" s="542"/>
      <c r="D10" s="984" t="str">
        <f>VLOOKUP($D$2,'Detalhes EC-EQX-CDs'!$A$2:$AF$7,11,FALSE)</f>
        <v>Fibrion</v>
      </c>
      <c r="E10" s="1061" t="s">
        <v>2284</v>
      </c>
      <c r="F10" s="1057" t="s">
        <v>1954</v>
      </c>
      <c r="G10" s="1062" t="s">
        <v>2323</v>
      </c>
      <c r="I10" s="757" t="s">
        <v>15</v>
      </c>
      <c r="J10" s="758">
        <f>SUM(J4:J9)</f>
        <v>12</v>
      </c>
      <c r="K10" s="759">
        <f>SUM(K4:K9)</f>
        <v>19940.089999999997</v>
      </c>
    </row>
    <row r="11" spans="1:11">
      <c r="A11" s="599" t="s">
        <v>2315</v>
      </c>
      <c r="B11" s="595" t="s">
        <v>1951</v>
      </c>
      <c r="C11" s="543"/>
      <c r="D11" s="985" t="str">
        <f>VLOOKUP($D$2,'Detalhes EC-EQX-CDs'!$A$2:$AF$7,16,FALSE)</f>
        <v>Dedicado</v>
      </c>
      <c r="E11" s="985" t="str">
        <f>VLOOKUP($E$2,'Detalhes EC-EQX-CDs'!$A$2:$AF$7,16,FALSE)</f>
        <v>Dedicado</v>
      </c>
      <c r="F11" s="975" t="str">
        <f>VLOOKUP($F$2,'Detalhes EC-EQX-CDs'!$A$2:$AF$7,16,FALSE)</f>
        <v>Dedicado</v>
      </c>
      <c r="G11" s="981" t="str">
        <f>VLOOKUP($G$2,'Detalhes EC-EQX-CDs'!$A$2:$AF$7,16,FALSE)</f>
        <v>Dedicado</v>
      </c>
    </row>
    <row r="12" spans="1:11">
      <c r="A12" s="599" t="s">
        <v>2316</v>
      </c>
      <c r="B12" s="595" t="s">
        <v>2317</v>
      </c>
      <c r="C12" s="543"/>
      <c r="D12" s="985" t="str">
        <f>VLOOKUP($D$2,'Detalhes EC-EQX-CDs'!$A$2:$AF$7,15,FALSE)</f>
        <v>100Mb</v>
      </c>
      <c r="E12" s="985" t="str">
        <f>VLOOKUP($E$2,'Detalhes EC-EQX-CDs'!$A$2:$AF$7,15,FALSE)</f>
        <v>50Mb</v>
      </c>
      <c r="F12" s="975" t="str">
        <f>VLOOKUP($F$2,'Detalhes EC-EQX-CDs'!$A$2:$AF$7,15,FALSE)</f>
        <v>20Mb</v>
      </c>
      <c r="G12" s="981" t="str">
        <f>VLOOKUP($G$2,'Detalhes EC-EQX-CDs'!$A$2:$AF$7,15,FALSE)</f>
        <v>20Mb</v>
      </c>
    </row>
    <row r="13" spans="1:11">
      <c r="A13" s="599" t="s">
        <v>2318</v>
      </c>
      <c r="B13" s="596">
        <v>46010</v>
      </c>
      <c r="C13" s="544"/>
      <c r="D13" s="986">
        <f>VLOOKUP($D$2,'Detalhes EC-EQX-CDs'!$A$2:$AF$7,12,FALSE)</f>
        <v>45609</v>
      </c>
      <c r="E13" s="986">
        <f>VLOOKUP($E$2,'Detalhes EC-EQX-CDs'!$A$2:$AF$7,12,FALSE)</f>
        <v>46218</v>
      </c>
      <c r="F13" s="976">
        <f>VLOOKUP($F$2,'Detalhes EC-EQX-CDs'!$A$2:$AF$7,12,FALSE)</f>
        <v>46176</v>
      </c>
      <c r="G13" s="982">
        <f>VLOOKUP($G$2,'Detalhes EC-EQX-CDs'!$A$2:$AF$7,12,FALSE)</f>
        <v>44735</v>
      </c>
      <c r="I13" s="166" t="s">
        <v>2324</v>
      </c>
      <c r="J13" s="165" t="s">
        <v>2313</v>
      </c>
      <c r="K13" s="167" t="s">
        <v>2325</v>
      </c>
    </row>
    <row r="14" spans="1:11">
      <c r="A14" s="599" t="s">
        <v>2319</v>
      </c>
      <c r="B14" s="596">
        <v>47106</v>
      </c>
      <c r="C14" s="544"/>
      <c r="D14" s="986">
        <f>VLOOKUP($D$2,'Detalhes EC-EQX-CDs'!$A$2:$AF$7,13,FALSE)</f>
        <v>46704</v>
      </c>
      <c r="E14" s="1056">
        <f>VLOOKUP($E$2,'Detalhes EC-EQX-CDs'!$A$2:$AF$7,13,FALSE)</f>
        <v>47314</v>
      </c>
      <c r="F14" s="976">
        <f>VLOOKUP($F$2,'Detalhes EC-EQX-CDs'!$A$2:$AF$7,13,FALSE)</f>
        <v>47272</v>
      </c>
      <c r="G14" s="990" t="str">
        <f>VLOOKUP($G$2,'Detalhes EC-EQX-CDs'!$A$2:$AF$7,13,FALSE)</f>
        <v>Vencido</v>
      </c>
      <c r="I14" s="163" t="s">
        <v>1954</v>
      </c>
      <c r="J14" s="164">
        <v>4</v>
      </c>
      <c r="K14" s="159">
        <f>SUM(B22+C8+D8+F15)</f>
        <v>9800.19</v>
      </c>
    </row>
    <row r="15" spans="1:11">
      <c r="A15" s="599" t="s">
        <v>2314</v>
      </c>
      <c r="B15" s="605">
        <v>2750</v>
      </c>
      <c r="C15" s="545"/>
      <c r="D15" s="987">
        <f>VLOOKUP($D$2,'Detalhes EC-EQX-CDs'!$A$2:$AF$7,17,FALSE)</f>
        <v>430</v>
      </c>
      <c r="E15" s="987">
        <f>VLOOKUP($E$2,'Detalhes EC-EQX-CDs'!$A$2:$AF$7,17,FALSE)</f>
        <v>962</v>
      </c>
      <c r="F15" s="978">
        <f>VLOOKUP($F$2,'Detalhes EC-EQX-CDs'!$A$2:$AF$7,17,FALSE)</f>
        <v>380</v>
      </c>
      <c r="G15" s="983">
        <f>VLOOKUP($G$2,'Detalhes EC-EQX-CDs'!$A$2:$AF$7,17,FALSE)</f>
        <v>997.79</v>
      </c>
      <c r="I15" s="156" t="s">
        <v>2284</v>
      </c>
      <c r="J15" s="6">
        <v>2</v>
      </c>
      <c r="K15" s="157">
        <f>SUM(B8+E15)</f>
        <v>3876.3</v>
      </c>
    </row>
    <row r="16" spans="1:11">
      <c r="A16" s="599" t="s">
        <v>2320</v>
      </c>
      <c r="B16" s="804">
        <v>11020625</v>
      </c>
      <c r="C16" s="547"/>
      <c r="D16" s="988" t="str">
        <f>VLOOKUP($D$2,'Detalhes EC-EQX-CDs'!$A$2:$AF$7,14,FALSE)</f>
        <v>ZZ45726039001</v>
      </c>
      <c r="E16" s="988" t="str">
        <f>VLOOKUP($E$2,'Detalhes EC-EQX-CDs'!$A$2:$AF$7,14,FALSE)</f>
        <v>BNU/IP/01514</v>
      </c>
      <c r="F16" s="977" t="str">
        <f>VLOOKUP($F$2,'Detalhes EC-EQX-CDs'!$A$2:$AF$7,14,FALSE)</f>
        <v>621980221280394</v>
      </c>
      <c r="G16" s="989" t="str">
        <f>VLOOKUP($G$2,'Detalhes EC-EQX-CDs'!$A$2:$AF$7,14,FALSE)</f>
        <v>TIT000872</v>
      </c>
      <c r="I16" s="161" t="s">
        <v>1956</v>
      </c>
      <c r="J16" s="162">
        <v>3</v>
      </c>
      <c r="K16" s="160">
        <f>SUM(E8+F8+G8)</f>
        <v>2085.81</v>
      </c>
    </row>
    <row r="17" spans="1:11">
      <c r="A17" s="138" t="s">
        <v>2326</v>
      </c>
      <c r="B17" s="1060" t="s">
        <v>1954</v>
      </c>
      <c r="C17" s="542"/>
      <c r="D17" s="611"/>
      <c r="E17" s="120"/>
      <c r="F17" s="120"/>
      <c r="G17" s="120"/>
      <c r="I17" s="158" t="s">
        <v>1974</v>
      </c>
      <c r="J17" s="6">
        <v>1</v>
      </c>
      <c r="K17" s="157">
        <f>SUM(D15)</f>
        <v>430</v>
      </c>
    </row>
    <row r="18" spans="1:11">
      <c r="A18" s="139" t="s">
        <v>2315</v>
      </c>
      <c r="B18" s="562" t="s">
        <v>1951</v>
      </c>
      <c r="C18" s="543"/>
      <c r="D18" s="118"/>
      <c r="E18" s="120"/>
      <c r="F18" s="120"/>
      <c r="G18" s="120"/>
      <c r="I18" s="168" t="s">
        <v>2327</v>
      </c>
      <c r="J18" s="169">
        <v>1</v>
      </c>
      <c r="K18" s="155">
        <f>SUM(G15)</f>
        <v>997.79</v>
      </c>
    </row>
    <row r="19" spans="1:11">
      <c r="A19" s="139" t="s">
        <v>2316</v>
      </c>
      <c r="B19" s="562" t="s">
        <v>1955</v>
      </c>
      <c r="C19" s="543"/>
      <c r="D19" s="118"/>
      <c r="E19" s="120"/>
      <c r="F19" s="120"/>
      <c r="G19" s="120"/>
      <c r="I19" s="606" t="s">
        <v>2286</v>
      </c>
      <c r="J19" s="169">
        <v>1</v>
      </c>
      <c r="K19" s="607">
        <f>SUM(B15)</f>
        <v>2750</v>
      </c>
    </row>
    <row r="20" spans="1:11">
      <c r="A20" s="139" t="s">
        <v>2318</v>
      </c>
      <c r="B20" s="563">
        <v>46024</v>
      </c>
      <c r="C20" s="544"/>
      <c r="D20" s="612"/>
      <c r="E20" s="120"/>
      <c r="F20" s="120"/>
      <c r="G20" s="1140"/>
      <c r="I20" s="170" t="s">
        <v>24</v>
      </c>
      <c r="J20" s="171">
        <f>SUM(J14:J19)</f>
        <v>12</v>
      </c>
      <c r="K20" s="172">
        <f>SUM(K14:K19)</f>
        <v>19940.09</v>
      </c>
    </row>
    <row r="21" spans="1:11">
      <c r="A21" s="139" t="s">
        <v>2319</v>
      </c>
      <c r="B21" s="563">
        <v>47120</v>
      </c>
      <c r="C21" s="544"/>
      <c r="D21" s="118"/>
      <c r="E21" s="120"/>
      <c r="F21" s="120"/>
      <c r="G21" s="1140"/>
      <c r="I21" s="652"/>
      <c r="J21" s="653"/>
      <c r="K21" s="654"/>
    </row>
    <row r="22" spans="1:11">
      <c r="A22" s="139" t="s">
        <v>2314</v>
      </c>
      <c r="B22" s="842">
        <v>3400</v>
      </c>
      <c r="C22" s="545"/>
      <c r="D22" s="119"/>
      <c r="E22" s="120"/>
      <c r="F22" s="120"/>
      <c r="G22" s="543"/>
    </row>
    <row r="23" spans="1:11">
      <c r="A23" s="140" t="s">
        <v>2320</v>
      </c>
      <c r="B23" s="843">
        <v>110003825281299</v>
      </c>
      <c r="C23" s="543"/>
      <c r="D23" s="118"/>
      <c r="E23" s="120"/>
      <c r="F23" s="120"/>
      <c r="G23" s="543"/>
    </row>
    <row r="24" spans="1:11">
      <c r="A24" s="841"/>
      <c r="B24" s="803"/>
      <c r="C24" s="611"/>
      <c r="D24" s="120"/>
      <c r="E24" s="120"/>
      <c r="F24" s="120"/>
      <c r="G24" s="543"/>
    </row>
    <row r="25" spans="1:11">
      <c r="A25" s="841"/>
      <c r="B25" s="118"/>
      <c r="C25" s="118"/>
      <c r="D25" s="120"/>
      <c r="E25" s="120"/>
      <c r="F25" s="120"/>
      <c r="G25" s="546"/>
    </row>
    <row r="26" spans="1:11">
      <c r="A26" s="841"/>
      <c r="B26" s="118"/>
      <c r="C26" s="118"/>
      <c r="D26" s="120"/>
      <c r="E26" s="120"/>
      <c r="F26" s="120"/>
      <c r="G26" s="543"/>
    </row>
    <row r="27" spans="1:11">
      <c r="A27" s="841"/>
      <c r="B27" s="612"/>
      <c r="C27" s="612"/>
      <c r="D27" s="120"/>
      <c r="E27" s="120"/>
      <c r="F27" s="120"/>
      <c r="G27" s="543"/>
    </row>
    <row r="28" spans="1:11">
      <c r="A28" s="841"/>
      <c r="B28" s="612"/>
      <c r="C28" s="612"/>
      <c r="D28" s="120"/>
      <c r="E28" s="120"/>
      <c r="F28" s="117"/>
      <c r="G28" s="543"/>
    </row>
    <row r="29" spans="1:11">
      <c r="A29" s="841"/>
      <c r="B29" s="739"/>
      <c r="C29" s="739"/>
      <c r="D29" s="120"/>
      <c r="E29" s="120"/>
      <c r="F29" s="118"/>
      <c r="G29" s="543"/>
    </row>
    <row r="30" spans="1:11">
      <c r="A30" s="841"/>
      <c r="B30" s="740"/>
      <c r="C30" s="740"/>
      <c r="D30" s="120"/>
      <c r="E30" s="120"/>
      <c r="F30" s="118"/>
      <c r="G30" s="543"/>
    </row>
    <row r="31" spans="1:11">
      <c r="A31" s="117"/>
      <c r="B31" s="611"/>
      <c r="C31" s="542"/>
      <c r="D31" s="120"/>
      <c r="E31" s="120"/>
      <c r="F31" s="118"/>
      <c r="G31" s="543"/>
    </row>
    <row r="32" spans="1:11">
      <c r="A32" s="117"/>
      <c r="B32" s="118"/>
      <c r="C32" s="543"/>
      <c r="D32" s="120"/>
      <c r="E32" s="120"/>
      <c r="F32" s="118"/>
      <c r="G32" s="543"/>
    </row>
    <row r="33" spans="1:7">
      <c r="A33" s="117"/>
      <c r="B33" s="118"/>
      <c r="C33" s="543"/>
      <c r="D33" s="120"/>
      <c r="E33" s="120"/>
      <c r="F33" s="118"/>
      <c r="G33" s="543"/>
    </row>
    <row r="34" spans="1:7">
      <c r="A34" s="117"/>
      <c r="B34" s="612"/>
      <c r="C34" s="544"/>
      <c r="D34" s="120"/>
      <c r="E34" s="120"/>
      <c r="F34" s="118"/>
      <c r="G34" s="118"/>
    </row>
    <row r="35" spans="1:7">
      <c r="A35" s="117"/>
      <c r="B35" s="612"/>
      <c r="C35" s="543"/>
      <c r="D35" s="120"/>
      <c r="E35" s="120"/>
      <c r="F35" s="118"/>
      <c r="G35" s="118"/>
    </row>
    <row r="36" spans="1:7">
      <c r="A36" s="117"/>
      <c r="B36" s="119"/>
      <c r="C36" s="545"/>
      <c r="D36" s="120"/>
      <c r="E36" s="120"/>
      <c r="F36" s="118"/>
      <c r="G36" s="118"/>
    </row>
    <row r="37" spans="1:7">
      <c r="A37" s="117"/>
      <c r="B37" s="613"/>
      <c r="C37" s="543"/>
      <c r="D37" s="120"/>
      <c r="E37" s="120"/>
      <c r="F37" s="120"/>
      <c r="G37" s="118"/>
    </row>
    <row r="38" spans="1:7">
      <c r="A38" s="117"/>
      <c r="B38" s="120"/>
      <c r="C38" s="542"/>
      <c r="D38" s="120"/>
      <c r="E38" s="120"/>
      <c r="F38" s="120"/>
      <c r="G38" s="120"/>
    </row>
    <row r="39" spans="1:7">
      <c r="A39" s="117"/>
      <c r="B39" s="120"/>
      <c r="C39" s="543"/>
      <c r="D39" s="120"/>
      <c r="E39" s="120"/>
      <c r="F39" s="120"/>
      <c r="G39" s="120"/>
    </row>
    <row r="40" spans="1:7">
      <c r="A40" s="117"/>
      <c r="B40" s="120"/>
      <c r="C40" s="543"/>
      <c r="D40" s="120"/>
      <c r="E40" s="120"/>
      <c r="F40" s="120"/>
      <c r="G40" s="120"/>
    </row>
    <row r="41" spans="1:7">
      <c r="A41" s="117"/>
      <c r="B41" s="120"/>
      <c r="C41" s="544"/>
      <c r="D41" s="120"/>
      <c r="E41" s="120"/>
      <c r="F41" s="120"/>
      <c r="G41" s="120"/>
    </row>
    <row r="42" spans="1:7">
      <c r="A42" s="117"/>
      <c r="B42" s="120"/>
      <c r="C42" s="546"/>
      <c r="D42" s="120"/>
      <c r="E42" s="120"/>
      <c r="F42" s="120"/>
      <c r="G42" s="120"/>
    </row>
    <row r="43" spans="1:7">
      <c r="A43" s="117"/>
      <c r="B43" s="120"/>
      <c r="C43" s="545"/>
      <c r="D43" s="120"/>
      <c r="E43" s="120"/>
      <c r="F43" s="120"/>
      <c r="G43" s="120"/>
    </row>
    <row r="44" spans="1:7">
      <c r="A44" s="117"/>
      <c r="B44" s="120"/>
      <c r="C44" s="547"/>
      <c r="D44" s="120"/>
      <c r="E44" s="120"/>
      <c r="F44" s="120"/>
      <c r="G44" s="120"/>
    </row>
    <row r="45" spans="1:7">
      <c r="E45" s="120"/>
      <c r="F45" s="120"/>
      <c r="G45" s="120"/>
    </row>
    <row r="46" spans="1:7">
      <c r="E46" s="120"/>
      <c r="F46" s="120"/>
      <c r="G46" s="120"/>
    </row>
    <row r="47" spans="1:7">
      <c r="E47" s="120"/>
      <c r="F47" s="120"/>
      <c r="G47" s="120"/>
    </row>
    <row r="48" spans="1:7">
      <c r="G48" s="120"/>
    </row>
  </sheetData>
  <sheetProtection algorithmName="SHA-512" hashValue="EZo77G5RHdwmCW6Ak3w3W61g36KhjuLQs/oWj9TA1YEGrnae5QVnZ4MXsRs/Gb5OWyHHvxDEzUvP/9OKwjgCeA==" saltValue="FpTBMDAZftnoi1HNJRCDOA==" spinCount="100000" sheet="1" objects="1" scenarios="1"/>
  <mergeCells count="1">
    <mergeCell ref="G20:G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C143-8025-4960-ACD1-B1CBA66A7BE7}">
  <dimension ref="A1:N46"/>
  <sheetViews>
    <sheetView workbookViewId="0">
      <selection activeCell="F4" sqref="F4:H9"/>
    </sheetView>
  </sheetViews>
  <sheetFormatPr defaultRowHeight="15"/>
  <cols>
    <col min="1" max="1" width="16" bestFit="1" customWidth="1"/>
    <col min="2" max="3" width="15.42578125" bestFit="1" customWidth="1"/>
    <col min="4" max="4" width="13" customWidth="1"/>
    <col min="5" max="5" width="16.5703125" customWidth="1"/>
    <col min="7" max="7" width="13.5703125" customWidth="1"/>
    <col min="9" max="10" width="15.85546875" bestFit="1" customWidth="1"/>
    <col min="14" max="14" width="12.5703125" bestFit="1" customWidth="1"/>
  </cols>
  <sheetData>
    <row r="1" spans="1:14">
      <c r="A1" s="142" t="s">
        <v>2301</v>
      </c>
      <c r="B1" s="143" t="s">
        <v>1949</v>
      </c>
      <c r="C1" s="144" t="s">
        <v>2003</v>
      </c>
      <c r="D1" s="567" t="s">
        <v>2302</v>
      </c>
      <c r="E1" s="145" t="s">
        <v>2303</v>
      </c>
      <c r="F1" s="146" t="s">
        <v>2304</v>
      </c>
      <c r="G1" s="147" t="s">
        <v>2305</v>
      </c>
      <c r="H1" s="148" t="s">
        <v>2306</v>
      </c>
      <c r="I1" s="1141" t="s">
        <v>2328</v>
      </c>
      <c r="J1" s="1142"/>
    </row>
    <row r="2" spans="1:14">
      <c r="A2" s="137" t="s">
        <v>1939</v>
      </c>
      <c r="B2" s="137">
        <v>41100</v>
      </c>
      <c r="C2" s="137" t="s">
        <v>2003</v>
      </c>
      <c r="D2" s="137"/>
      <c r="E2" s="137" t="s">
        <v>2308</v>
      </c>
      <c r="F2" s="137" t="s">
        <v>2309</v>
      </c>
      <c r="G2" s="137" t="s">
        <v>2310</v>
      </c>
      <c r="H2" s="137" t="s">
        <v>2311</v>
      </c>
      <c r="I2" s="137" t="s">
        <v>2329</v>
      </c>
      <c r="J2" s="137" t="s">
        <v>2330</v>
      </c>
    </row>
    <row r="3" spans="1:14">
      <c r="A3" s="138" t="s">
        <v>2312</v>
      </c>
      <c r="B3" s="141" t="s">
        <v>1950</v>
      </c>
      <c r="C3" s="844" t="s">
        <v>1950</v>
      </c>
      <c r="D3" s="537"/>
      <c r="E3" s="131" t="s">
        <v>1954</v>
      </c>
      <c r="F3" s="133" t="s">
        <v>1956</v>
      </c>
      <c r="G3" s="133" t="s">
        <v>1956</v>
      </c>
      <c r="H3" s="133" t="s">
        <v>1956</v>
      </c>
      <c r="I3" s="131" t="s">
        <v>1954</v>
      </c>
      <c r="J3" s="129" t="s">
        <v>1954</v>
      </c>
      <c r="L3" s="106" t="s">
        <v>2301</v>
      </c>
      <c r="M3" s="107" t="s">
        <v>2313</v>
      </c>
      <c r="N3" s="108" t="s">
        <v>2314</v>
      </c>
    </row>
    <row r="4" spans="1:14">
      <c r="A4" s="139" t="s">
        <v>2315</v>
      </c>
      <c r="B4" s="120" t="s">
        <v>1951</v>
      </c>
      <c r="C4" s="530" t="s">
        <v>1951</v>
      </c>
      <c r="D4" s="538"/>
      <c r="E4" s="123" t="s">
        <v>1951</v>
      </c>
      <c r="F4" s="845" t="s">
        <v>1951</v>
      </c>
      <c r="G4" s="845" t="s">
        <v>1951</v>
      </c>
      <c r="H4" s="845" t="s">
        <v>1951</v>
      </c>
      <c r="I4" s="530" t="s">
        <v>2331</v>
      </c>
      <c r="J4" s="525" t="s">
        <v>2332</v>
      </c>
      <c r="L4" s="109" t="s">
        <v>1949</v>
      </c>
      <c r="M4" s="105">
        <v>4</v>
      </c>
      <c r="N4" s="110">
        <f>SUM(B8+B15+B22+B29)</f>
        <v>12033.18</v>
      </c>
    </row>
    <row r="5" spans="1:14">
      <c r="A5" s="139" t="s">
        <v>2316</v>
      </c>
      <c r="B5" s="120" t="s">
        <v>1952</v>
      </c>
      <c r="C5" s="530" t="s">
        <v>1959</v>
      </c>
      <c r="D5" s="538"/>
      <c r="E5" s="123" t="s">
        <v>1973</v>
      </c>
      <c r="F5" s="845" t="s">
        <v>2333</v>
      </c>
      <c r="G5" s="845" t="s">
        <v>2334</v>
      </c>
      <c r="H5" s="845" t="s">
        <v>2333</v>
      </c>
      <c r="I5" s="530" t="s">
        <v>1999</v>
      </c>
      <c r="J5" s="525" t="s">
        <v>1999</v>
      </c>
      <c r="L5" s="111" t="s">
        <v>2003</v>
      </c>
      <c r="M5" s="105">
        <v>4</v>
      </c>
      <c r="N5" s="110">
        <f>SUM(C8+C15+C22+C36)</f>
        <v>13272.39</v>
      </c>
    </row>
    <row r="6" spans="1:14">
      <c r="A6" s="139" t="s">
        <v>2318</v>
      </c>
      <c r="B6" s="122">
        <v>44903</v>
      </c>
      <c r="C6" s="531">
        <v>44901</v>
      </c>
      <c r="D6" s="539"/>
      <c r="E6" s="127">
        <v>45338</v>
      </c>
      <c r="F6" s="846">
        <v>44596</v>
      </c>
      <c r="G6" s="846">
        <v>44617</v>
      </c>
      <c r="H6" s="846">
        <v>44589</v>
      </c>
      <c r="I6" s="531">
        <v>43738</v>
      </c>
      <c r="J6" s="526">
        <v>43738</v>
      </c>
      <c r="L6" s="112" t="s">
        <v>1971</v>
      </c>
      <c r="M6" s="105">
        <v>3</v>
      </c>
      <c r="N6" s="110">
        <f>SUM(E8+E15+E22)</f>
        <v>3374.5899999999997</v>
      </c>
    </row>
    <row r="7" spans="1:14">
      <c r="A7" s="139" t="s">
        <v>2319</v>
      </c>
      <c r="B7" s="122">
        <v>45999</v>
      </c>
      <c r="C7" s="531" t="s">
        <v>2335</v>
      </c>
      <c r="D7" s="539"/>
      <c r="E7" s="127">
        <v>46434</v>
      </c>
      <c r="F7" s="845" t="s">
        <v>1968</v>
      </c>
      <c r="G7" s="845" t="s">
        <v>1968</v>
      </c>
      <c r="H7" s="845" t="s">
        <v>1968</v>
      </c>
      <c r="I7" s="530" t="s">
        <v>2335</v>
      </c>
      <c r="J7" s="525" t="s">
        <v>2335</v>
      </c>
      <c r="L7" s="113" t="s">
        <v>1979</v>
      </c>
      <c r="M7" s="105">
        <v>2</v>
      </c>
      <c r="N7" s="110">
        <f>SUM(F8+F15)</f>
        <v>1464.3600000000001</v>
      </c>
    </row>
    <row r="8" spans="1:14">
      <c r="A8" s="139" t="s">
        <v>2314</v>
      </c>
      <c r="B8" s="121">
        <v>3198.68</v>
      </c>
      <c r="C8" s="532">
        <v>5657.1</v>
      </c>
      <c r="D8" s="540"/>
      <c r="E8" s="128">
        <v>1910.03</v>
      </c>
      <c r="F8" s="847">
        <v>952.94</v>
      </c>
      <c r="G8" s="847">
        <v>440.78</v>
      </c>
      <c r="H8" s="847">
        <v>562.27</v>
      </c>
      <c r="I8" s="532">
        <v>832.3</v>
      </c>
      <c r="J8" s="528">
        <v>832.3</v>
      </c>
      <c r="L8" s="114" t="s">
        <v>1985</v>
      </c>
      <c r="M8" s="105">
        <v>2</v>
      </c>
      <c r="N8" s="110">
        <f>SUM(G8+G15)</f>
        <v>1025.42</v>
      </c>
    </row>
    <row r="9" spans="1:14">
      <c r="A9" s="140" t="s">
        <v>2320</v>
      </c>
      <c r="B9" s="120" t="s">
        <v>1953</v>
      </c>
      <c r="C9" s="530" t="s">
        <v>1960</v>
      </c>
      <c r="D9" s="538"/>
      <c r="E9" s="134">
        <v>113004643101796</v>
      </c>
      <c r="F9" s="845" t="s">
        <v>1982</v>
      </c>
      <c r="G9" s="845" t="s">
        <v>1988</v>
      </c>
      <c r="H9" s="845" t="s">
        <v>1992</v>
      </c>
      <c r="I9" s="533">
        <v>110714191224793</v>
      </c>
      <c r="J9" s="534">
        <v>110003106383097</v>
      </c>
      <c r="L9" s="115" t="s">
        <v>1935</v>
      </c>
      <c r="M9" s="105">
        <v>2</v>
      </c>
      <c r="N9" s="110">
        <f>SUM(H8+H15)</f>
        <v>1560.06</v>
      </c>
    </row>
    <row r="10" spans="1:14">
      <c r="A10" s="138" t="s">
        <v>2322</v>
      </c>
      <c r="B10" s="131" t="s">
        <v>1954</v>
      </c>
      <c r="C10" s="131" t="s">
        <v>1954</v>
      </c>
      <c r="D10" s="537"/>
      <c r="E10" s="135" t="s">
        <v>1974</v>
      </c>
      <c r="F10" s="126" t="s">
        <v>1950</v>
      </c>
      <c r="G10" s="131" t="s">
        <v>1954</v>
      </c>
      <c r="H10" s="136" t="s">
        <v>2323</v>
      </c>
      <c r="I10" s="126" t="s">
        <v>1950</v>
      </c>
      <c r="J10" s="125" t="s">
        <v>1950</v>
      </c>
      <c r="L10" s="116" t="s">
        <v>1996</v>
      </c>
      <c r="M10" s="105">
        <v>6</v>
      </c>
      <c r="N10" s="110">
        <f>SUM(I8+J8+I15+J15+C29+C43)</f>
        <v>13984.590000000002</v>
      </c>
    </row>
    <row r="11" spans="1:14">
      <c r="A11" s="139" t="s">
        <v>2315</v>
      </c>
      <c r="B11" s="123" t="s">
        <v>1951</v>
      </c>
      <c r="C11" s="123" t="s">
        <v>1951</v>
      </c>
      <c r="D11" s="538"/>
      <c r="E11" s="123" t="s">
        <v>1951</v>
      </c>
      <c r="F11" s="123" t="s">
        <v>1951</v>
      </c>
      <c r="G11" s="123" t="s">
        <v>1951</v>
      </c>
      <c r="H11" s="123" t="s">
        <v>1951</v>
      </c>
      <c r="I11" s="530" t="s">
        <v>1963</v>
      </c>
      <c r="J11" s="525" t="s">
        <v>1963</v>
      </c>
      <c r="L11" s="565" t="s">
        <v>2321</v>
      </c>
      <c r="M11" s="566">
        <v>1</v>
      </c>
      <c r="N11" s="110">
        <f>SUM(D8+D15+D22+D29)</f>
        <v>3025.46</v>
      </c>
    </row>
    <row r="12" spans="1:14">
      <c r="A12" s="139" t="s">
        <v>2316</v>
      </c>
      <c r="B12" s="123" t="s">
        <v>1955</v>
      </c>
      <c r="C12" s="123" t="s">
        <v>1955</v>
      </c>
      <c r="D12" s="538"/>
      <c r="E12" s="123" t="s">
        <v>1975</v>
      </c>
      <c r="F12" s="123" t="s">
        <v>1981</v>
      </c>
      <c r="G12" s="123" t="s">
        <v>1989</v>
      </c>
      <c r="H12" s="123" t="s">
        <v>1981</v>
      </c>
      <c r="I12" s="530" t="s">
        <v>1999</v>
      </c>
      <c r="J12" s="525" t="s">
        <v>1999</v>
      </c>
      <c r="L12" s="151" t="s">
        <v>15</v>
      </c>
      <c r="M12" s="152">
        <f>SUM(M4:M10)</f>
        <v>23</v>
      </c>
      <c r="N12" s="153">
        <f>SUM(N4:N11)</f>
        <v>49740.05</v>
      </c>
    </row>
    <row r="13" spans="1:14">
      <c r="A13" s="139" t="s">
        <v>2318</v>
      </c>
      <c r="B13" s="127">
        <v>45595</v>
      </c>
      <c r="C13" s="127">
        <v>45132</v>
      </c>
      <c r="D13" s="539"/>
      <c r="E13" s="127">
        <v>45609</v>
      </c>
      <c r="F13" s="127">
        <v>44714</v>
      </c>
      <c r="G13" s="127">
        <v>44470</v>
      </c>
      <c r="H13" s="127">
        <v>44735</v>
      </c>
      <c r="I13" s="531">
        <v>43346</v>
      </c>
      <c r="J13" s="526">
        <v>43361</v>
      </c>
    </row>
    <row r="14" spans="1:14">
      <c r="A14" s="139" t="s">
        <v>2319</v>
      </c>
      <c r="B14" s="127">
        <v>46690</v>
      </c>
      <c r="C14" s="127">
        <v>46228</v>
      </c>
      <c r="D14" s="539"/>
      <c r="E14" s="127">
        <v>46704</v>
      </c>
      <c r="F14" s="123" t="s">
        <v>1968</v>
      </c>
      <c r="G14" s="123" t="s">
        <v>1968</v>
      </c>
      <c r="H14" s="127" t="s">
        <v>1968</v>
      </c>
      <c r="I14" s="530" t="s">
        <v>2335</v>
      </c>
      <c r="J14" s="525" t="s">
        <v>2335</v>
      </c>
    </row>
    <row r="15" spans="1:14">
      <c r="A15" s="139" t="s">
        <v>2314</v>
      </c>
      <c r="B15" s="128">
        <v>3613.93</v>
      </c>
      <c r="C15" s="128">
        <v>4110.16</v>
      </c>
      <c r="D15" s="540"/>
      <c r="E15" s="128">
        <v>430</v>
      </c>
      <c r="F15" s="128">
        <v>511.42</v>
      </c>
      <c r="G15" s="128">
        <v>584.64</v>
      </c>
      <c r="H15" s="128">
        <v>997.79</v>
      </c>
      <c r="I15" s="532">
        <v>1343.81</v>
      </c>
      <c r="J15" s="528">
        <v>1909.68</v>
      </c>
      <c r="L15" s="166" t="s">
        <v>2324</v>
      </c>
      <c r="M15" s="165" t="s">
        <v>2313</v>
      </c>
      <c r="N15" s="167" t="s">
        <v>2325</v>
      </c>
    </row>
    <row r="16" spans="1:14">
      <c r="A16" s="140" t="s">
        <v>2320</v>
      </c>
      <c r="B16" s="134">
        <v>110003392209490</v>
      </c>
      <c r="C16" s="134">
        <v>110005641701194</v>
      </c>
      <c r="D16" s="541"/>
      <c r="E16" s="123" t="s">
        <v>1976</v>
      </c>
      <c r="F16" s="124" t="s">
        <v>1983</v>
      </c>
      <c r="G16" s="132">
        <v>621980152126996</v>
      </c>
      <c r="H16" s="124" t="s">
        <v>1994</v>
      </c>
      <c r="I16" s="535" t="s">
        <v>2000</v>
      </c>
      <c r="J16" s="536" t="s">
        <v>2002</v>
      </c>
      <c r="L16" s="163" t="s">
        <v>1954</v>
      </c>
      <c r="M16" s="164">
        <v>8</v>
      </c>
      <c r="N16" s="159">
        <f>SUM(E8+I8+J8+B15+G15+C43+C15+D29)</f>
        <v>18982.259999999998</v>
      </c>
    </row>
    <row r="17" spans="1:14">
      <c r="A17" s="138" t="s">
        <v>2326</v>
      </c>
      <c r="B17" s="133" t="s">
        <v>1956</v>
      </c>
      <c r="C17" s="133" t="s">
        <v>1956</v>
      </c>
      <c r="D17" s="537"/>
      <c r="E17" s="130" t="s">
        <v>1956</v>
      </c>
      <c r="F17" s="120"/>
      <c r="G17" s="120"/>
      <c r="H17" s="120"/>
      <c r="I17" s="120"/>
      <c r="J17" s="120"/>
      <c r="L17" s="156" t="s">
        <v>1950</v>
      </c>
      <c r="M17" s="6">
        <v>6</v>
      </c>
      <c r="N17" s="157">
        <f>SUM(C29+J15+I15+F15+C8+B8)</f>
        <v>17613.75</v>
      </c>
    </row>
    <row r="18" spans="1:14">
      <c r="A18" s="139" t="s">
        <v>2315</v>
      </c>
      <c r="B18" s="530" t="s">
        <v>1957</v>
      </c>
      <c r="C18" s="530" t="s">
        <v>1961</v>
      </c>
      <c r="D18" s="538"/>
      <c r="E18" s="525" t="s">
        <v>1977</v>
      </c>
      <c r="F18" s="120"/>
      <c r="G18" s="120"/>
      <c r="H18" s="120"/>
      <c r="I18" s="120"/>
      <c r="J18" s="120"/>
      <c r="L18" s="161" t="s">
        <v>1956</v>
      </c>
      <c r="M18" s="162">
        <v>7</v>
      </c>
      <c r="N18" s="160">
        <f>SUM(C36+E22+C22+B22+F8+G8+H8)</f>
        <v>8966.2500000000018</v>
      </c>
    </row>
    <row r="19" spans="1:14">
      <c r="A19" s="139" t="s">
        <v>2316</v>
      </c>
      <c r="B19" s="530" t="s">
        <v>1955</v>
      </c>
      <c r="C19" s="530" t="s">
        <v>1955</v>
      </c>
      <c r="D19" s="538"/>
      <c r="E19" s="525" t="s">
        <v>2336</v>
      </c>
      <c r="F19" s="120"/>
      <c r="G19" s="120"/>
      <c r="H19" s="120"/>
      <c r="I19" s="120"/>
      <c r="J19" s="120"/>
      <c r="L19" s="158" t="s">
        <v>1974</v>
      </c>
      <c r="M19" s="6">
        <v>1</v>
      </c>
      <c r="N19" s="157">
        <f>SUM(E15)</f>
        <v>430</v>
      </c>
    </row>
    <row r="20" spans="1:14" ht="15" customHeight="1">
      <c r="A20" s="139" t="s">
        <v>2318</v>
      </c>
      <c r="B20" s="531">
        <v>44750</v>
      </c>
      <c r="C20" s="531">
        <v>44750</v>
      </c>
      <c r="D20" s="539"/>
      <c r="E20" s="526">
        <v>44651</v>
      </c>
      <c r="F20" s="120"/>
      <c r="G20" s="120"/>
      <c r="H20" s="1143" t="s">
        <v>2337</v>
      </c>
      <c r="I20" s="1144"/>
      <c r="J20" s="1145"/>
      <c r="L20" s="168" t="s">
        <v>2327</v>
      </c>
      <c r="M20" s="169">
        <v>1</v>
      </c>
      <c r="N20" s="155">
        <f>SUM(H15)</f>
        <v>997.79</v>
      </c>
    </row>
    <row r="21" spans="1:14" ht="15" customHeight="1">
      <c r="A21" s="139" t="s">
        <v>2319</v>
      </c>
      <c r="B21" s="531" t="s">
        <v>2335</v>
      </c>
      <c r="C21" s="531" t="s">
        <v>2335</v>
      </c>
      <c r="D21" s="539"/>
      <c r="E21" s="525" t="s">
        <v>2335</v>
      </c>
      <c r="F21" s="120"/>
      <c r="G21" s="120"/>
      <c r="H21" s="1146"/>
      <c r="I21" s="1147"/>
      <c r="J21" s="1148"/>
      <c r="L21" s="606" t="s">
        <v>2286</v>
      </c>
      <c r="M21" s="169">
        <v>1</v>
      </c>
      <c r="N21" s="607">
        <f>SUM(B29)</f>
        <v>2750</v>
      </c>
    </row>
    <row r="22" spans="1:14">
      <c r="A22" s="139" t="s">
        <v>2314</v>
      </c>
      <c r="B22" s="532">
        <v>2470.5700000000002</v>
      </c>
      <c r="C22" s="532">
        <v>2470.5700000000002</v>
      </c>
      <c r="D22" s="540"/>
      <c r="E22" s="528">
        <v>1034.56</v>
      </c>
      <c r="F22" s="120"/>
      <c r="G22" s="120"/>
      <c r="H22" s="741" t="s">
        <v>14</v>
      </c>
      <c r="I22" s="742" t="s">
        <v>35</v>
      </c>
      <c r="J22" s="743" t="s">
        <v>2338</v>
      </c>
      <c r="L22" s="170" t="s">
        <v>24</v>
      </c>
      <c r="M22" s="171">
        <f>SUM(M16:M20)</f>
        <v>23</v>
      </c>
      <c r="N22" s="172">
        <f>SUM(N16:N21)</f>
        <v>49740.049999999996</v>
      </c>
    </row>
    <row r="23" spans="1:14">
      <c r="A23" s="139" t="s">
        <v>2320</v>
      </c>
      <c r="B23" s="530">
        <v>8880105</v>
      </c>
      <c r="C23" s="530">
        <v>8880104</v>
      </c>
      <c r="D23" s="538"/>
      <c r="E23" s="536">
        <v>8788650</v>
      </c>
      <c r="F23" s="120"/>
      <c r="G23" s="120"/>
      <c r="H23" s="690" t="s">
        <v>1950</v>
      </c>
      <c r="I23" s="691" t="s">
        <v>2339</v>
      </c>
      <c r="J23" s="692">
        <v>46037</v>
      </c>
      <c r="K23" t="s">
        <v>2340</v>
      </c>
      <c r="L23" s="608"/>
      <c r="M23" s="609"/>
      <c r="N23" s="610"/>
    </row>
    <row r="24" spans="1:14">
      <c r="A24" s="598" t="s">
        <v>2341</v>
      </c>
      <c r="B24" s="594" t="s">
        <v>2286</v>
      </c>
      <c r="C24" s="601" t="s">
        <v>1950</v>
      </c>
      <c r="D24" s="561" t="s">
        <v>1954</v>
      </c>
      <c r="E24" s="120"/>
      <c r="F24" s="120"/>
      <c r="G24" s="120"/>
      <c r="H24" s="690" t="s">
        <v>1954</v>
      </c>
      <c r="I24" s="691" t="s">
        <v>2342</v>
      </c>
      <c r="J24" s="692">
        <v>46035</v>
      </c>
      <c r="K24" t="s">
        <v>2340</v>
      </c>
    </row>
    <row r="25" spans="1:14">
      <c r="A25" s="599" t="s">
        <v>2315</v>
      </c>
      <c r="B25" s="595" t="s">
        <v>1951</v>
      </c>
      <c r="C25" s="602" t="s">
        <v>2343</v>
      </c>
      <c r="D25" s="562" t="s">
        <v>2344</v>
      </c>
      <c r="E25" s="120"/>
      <c r="F25" s="120"/>
      <c r="G25" s="120"/>
      <c r="H25" s="738" t="s">
        <v>1954</v>
      </c>
      <c r="I25" s="691" t="s">
        <v>2344</v>
      </c>
      <c r="J25" s="692">
        <v>46015</v>
      </c>
      <c r="K25" t="s">
        <v>2345</v>
      </c>
    </row>
    <row r="26" spans="1:14">
      <c r="A26" s="599" t="s">
        <v>2316</v>
      </c>
      <c r="B26" s="595" t="s">
        <v>2317</v>
      </c>
      <c r="C26" s="602" t="s">
        <v>1964</v>
      </c>
      <c r="D26" s="562" t="s">
        <v>2346</v>
      </c>
      <c r="E26" s="120"/>
      <c r="F26" s="120"/>
      <c r="G26" s="120"/>
      <c r="H26" s="690" t="s">
        <v>1956</v>
      </c>
      <c r="I26" s="691" t="s">
        <v>2347</v>
      </c>
      <c r="J26" s="692">
        <v>45985</v>
      </c>
      <c r="K26" t="s">
        <v>2340</v>
      </c>
    </row>
    <row r="27" spans="1:14">
      <c r="A27" s="599" t="s">
        <v>2318</v>
      </c>
      <c r="B27" s="596">
        <v>46010</v>
      </c>
      <c r="C27" s="603">
        <v>43383</v>
      </c>
      <c r="D27" s="563">
        <v>45782</v>
      </c>
      <c r="E27" s="120"/>
      <c r="F27" s="120"/>
      <c r="G27" s="117"/>
      <c r="H27" s="690" t="s">
        <v>1956</v>
      </c>
      <c r="I27" s="691" t="s">
        <v>2348</v>
      </c>
      <c r="J27" s="692">
        <v>45975</v>
      </c>
      <c r="K27" t="s">
        <v>2340</v>
      </c>
    </row>
    <row r="28" spans="1:14">
      <c r="A28" s="599" t="s">
        <v>2319</v>
      </c>
      <c r="B28" s="596">
        <v>47106</v>
      </c>
      <c r="C28" s="602" t="s">
        <v>2335</v>
      </c>
      <c r="D28" s="563">
        <v>46878</v>
      </c>
      <c r="E28" s="120"/>
      <c r="F28" s="120"/>
      <c r="G28" s="118"/>
      <c r="H28" s="690" t="s">
        <v>1954</v>
      </c>
      <c r="I28" s="691" t="s">
        <v>2331</v>
      </c>
      <c r="J28" s="692">
        <v>45951</v>
      </c>
      <c r="K28" t="s">
        <v>2349</v>
      </c>
    </row>
    <row r="29" spans="1:14">
      <c r="A29" s="599" t="s">
        <v>2314</v>
      </c>
      <c r="B29" s="605">
        <v>2750</v>
      </c>
      <c r="C29" s="604">
        <v>4993.0600000000004</v>
      </c>
      <c r="D29" s="562">
        <v>3025.46</v>
      </c>
      <c r="E29" s="120"/>
      <c r="F29" s="120"/>
      <c r="G29" s="118"/>
      <c r="H29" s="690" t="s">
        <v>1954</v>
      </c>
      <c r="I29" s="691" t="s">
        <v>2350</v>
      </c>
      <c r="J29" s="692">
        <v>45951</v>
      </c>
      <c r="K29" t="s">
        <v>2349</v>
      </c>
    </row>
    <row r="30" spans="1:14">
      <c r="A30" s="600" t="s">
        <v>2320</v>
      </c>
      <c r="B30" s="597">
        <v>11020625</v>
      </c>
      <c r="C30" s="602" t="s">
        <v>1965</v>
      </c>
      <c r="D30" s="564" t="s">
        <v>2351</v>
      </c>
      <c r="E30" s="120"/>
      <c r="F30" s="120"/>
      <c r="G30" s="118"/>
      <c r="H30" s="690" t="s">
        <v>1954</v>
      </c>
      <c r="I30" s="694" t="s">
        <v>2352</v>
      </c>
      <c r="J30" s="692">
        <v>45951</v>
      </c>
      <c r="K30" t="s">
        <v>2353</v>
      </c>
    </row>
    <row r="31" spans="1:14">
      <c r="A31" s="139" t="s">
        <v>2354</v>
      </c>
      <c r="B31" s="120"/>
      <c r="C31" s="130" t="s">
        <v>1956</v>
      </c>
      <c r="D31" s="542"/>
      <c r="E31" s="120"/>
      <c r="F31" s="120"/>
      <c r="G31" s="118"/>
      <c r="H31" s="690" t="s">
        <v>1950</v>
      </c>
      <c r="I31" s="694" t="s">
        <v>2331</v>
      </c>
      <c r="J31" s="692">
        <v>45951</v>
      </c>
      <c r="K31" t="s">
        <v>2345</v>
      </c>
    </row>
    <row r="32" spans="1:14">
      <c r="A32" s="139" t="s">
        <v>2315</v>
      </c>
      <c r="B32" s="120"/>
      <c r="C32" s="525" t="s">
        <v>1966</v>
      </c>
      <c r="D32" s="543"/>
      <c r="E32" s="120"/>
      <c r="F32" s="120"/>
      <c r="G32" s="118"/>
      <c r="H32" s="690" t="s">
        <v>1950</v>
      </c>
      <c r="I32" s="694" t="s">
        <v>2350</v>
      </c>
      <c r="J32" s="692">
        <v>45951</v>
      </c>
      <c r="K32" t="s">
        <v>2345</v>
      </c>
    </row>
    <row r="33" spans="1:11">
      <c r="A33" s="139" t="s">
        <v>2316</v>
      </c>
      <c r="B33" s="120"/>
      <c r="C33" s="525" t="s">
        <v>2336</v>
      </c>
      <c r="D33" s="543"/>
      <c r="E33" s="120"/>
      <c r="F33" s="120"/>
      <c r="G33" s="118"/>
      <c r="H33" s="735" t="s">
        <v>1950</v>
      </c>
      <c r="I33" s="736" t="s">
        <v>2352</v>
      </c>
      <c r="J33" s="737">
        <v>45951</v>
      </c>
      <c r="K33" t="s">
        <v>2345</v>
      </c>
    </row>
    <row r="34" spans="1:11">
      <c r="A34" s="139" t="s">
        <v>2318</v>
      </c>
      <c r="B34" s="120"/>
      <c r="C34" s="526">
        <v>44651</v>
      </c>
      <c r="D34" s="544"/>
      <c r="E34" s="120"/>
      <c r="F34" s="120"/>
      <c r="G34" s="118"/>
      <c r="H34" s="118"/>
      <c r="I34" s="119"/>
      <c r="J34" s="120"/>
    </row>
    <row r="35" spans="1:11">
      <c r="A35" s="139" t="s">
        <v>2319</v>
      </c>
      <c r="B35" s="120"/>
      <c r="C35" s="525" t="s">
        <v>2335</v>
      </c>
      <c r="D35" s="543"/>
      <c r="E35" s="120"/>
      <c r="F35" s="120"/>
      <c r="G35" s="118"/>
      <c r="H35" s="118"/>
      <c r="I35" s="119"/>
      <c r="J35" s="120"/>
    </row>
    <row r="36" spans="1:11">
      <c r="A36" s="139" t="s">
        <v>2314</v>
      </c>
      <c r="B36" s="120"/>
      <c r="C36" s="528">
        <v>1034.56</v>
      </c>
      <c r="D36" s="545"/>
      <c r="E36" s="120"/>
      <c r="F36" s="120"/>
      <c r="G36" s="120"/>
      <c r="H36" s="120"/>
      <c r="I36" s="120"/>
      <c r="J36" s="120"/>
    </row>
    <row r="37" spans="1:11">
      <c r="A37" s="140" t="s">
        <v>2320</v>
      </c>
      <c r="B37" s="120"/>
      <c r="C37" s="525">
        <v>8788652</v>
      </c>
      <c r="D37" s="543"/>
      <c r="E37" s="120"/>
      <c r="F37" s="120"/>
      <c r="G37" s="120"/>
      <c r="H37" s="120"/>
      <c r="I37" s="120"/>
      <c r="J37" s="120"/>
    </row>
    <row r="38" spans="1:11">
      <c r="A38" s="139" t="s">
        <v>2355</v>
      </c>
      <c r="B38" s="120"/>
      <c r="C38" s="129" t="s">
        <v>1954</v>
      </c>
      <c r="D38" s="542"/>
      <c r="E38" s="120"/>
      <c r="F38" s="120"/>
      <c r="G38" s="120"/>
      <c r="H38" s="120"/>
      <c r="I38" s="120"/>
      <c r="J38" s="120"/>
    </row>
    <row r="39" spans="1:11">
      <c r="A39" s="139" t="s">
        <v>2315</v>
      </c>
      <c r="B39" s="120"/>
      <c r="C39" s="525" t="s">
        <v>2343</v>
      </c>
      <c r="D39" s="543"/>
      <c r="E39" s="120"/>
      <c r="F39" s="120"/>
      <c r="G39" s="120"/>
      <c r="H39" s="120"/>
      <c r="I39" s="120"/>
      <c r="J39" s="120"/>
    </row>
    <row r="40" spans="1:11">
      <c r="A40" s="139" t="s">
        <v>2316</v>
      </c>
      <c r="B40" s="120"/>
      <c r="C40" s="525" t="s">
        <v>1970</v>
      </c>
      <c r="D40" s="543"/>
      <c r="E40" s="120"/>
      <c r="F40" s="120"/>
      <c r="G40" s="120"/>
      <c r="H40" s="120"/>
      <c r="I40" s="120"/>
      <c r="J40" s="120"/>
    </row>
    <row r="41" spans="1:11">
      <c r="A41" s="139" t="s">
        <v>2318</v>
      </c>
      <c r="B41" s="120"/>
      <c r="C41" s="526">
        <v>45070</v>
      </c>
      <c r="D41" s="544"/>
      <c r="E41" s="120"/>
      <c r="F41" s="120"/>
      <c r="G41" s="120"/>
      <c r="H41" s="120"/>
      <c r="I41" s="120"/>
      <c r="J41" s="120"/>
    </row>
    <row r="42" spans="1:11">
      <c r="A42" s="139" t="s">
        <v>2319</v>
      </c>
      <c r="B42" s="120"/>
      <c r="C42" s="527" t="s">
        <v>2335</v>
      </c>
      <c r="D42" s="546"/>
      <c r="E42" s="120"/>
      <c r="F42" s="120"/>
      <c r="G42" s="120"/>
      <c r="H42" s="120"/>
      <c r="I42" s="120"/>
      <c r="J42" s="120"/>
    </row>
    <row r="43" spans="1:11">
      <c r="A43" s="139" t="s">
        <v>2314</v>
      </c>
      <c r="B43" s="120"/>
      <c r="C43" s="528">
        <v>4073.44</v>
      </c>
      <c r="D43" s="545"/>
      <c r="E43" s="120"/>
      <c r="F43" s="120"/>
      <c r="G43" s="120"/>
      <c r="H43" s="120"/>
      <c r="I43" s="120"/>
      <c r="J43" s="120"/>
    </row>
    <row r="44" spans="1:11">
      <c r="A44" s="140" t="s">
        <v>2320</v>
      </c>
      <c r="B44" s="120"/>
      <c r="C44" s="529">
        <v>110005641094794</v>
      </c>
      <c r="D44" s="547"/>
      <c r="E44" s="120"/>
      <c r="F44" s="120"/>
      <c r="G44" s="120"/>
      <c r="H44" s="120"/>
      <c r="I44" s="120"/>
      <c r="J44" s="120"/>
    </row>
    <row r="45" spans="1:11">
      <c r="A45" s="6"/>
      <c r="B45" s="6"/>
      <c r="C45" s="6"/>
      <c r="D45" s="6"/>
      <c r="E45" s="6"/>
      <c r="F45" s="120"/>
      <c r="G45" s="120"/>
      <c r="H45" s="120"/>
      <c r="I45" s="120"/>
      <c r="J45" s="120"/>
    </row>
    <row r="46" spans="1:11">
      <c r="A46" s="6"/>
      <c r="B46" s="6"/>
      <c r="C46" s="6"/>
      <c r="D46" s="6"/>
      <c r="E46" s="6"/>
      <c r="F46" s="120"/>
      <c r="G46" s="120"/>
      <c r="H46" s="120"/>
      <c r="I46" s="120"/>
      <c r="J46" s="120"/>
    </row>
  </sheetData>
  <mergeCells count="2">
    <mergeCell ref="I1:J1"/>
    <mergeCell ref="H20:J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2BF5-3A64-49B3-AB53-829B6FB0C990}">
  <dimension ref="A1:J20"/>
  <sheetViews>
    <sheetView workbookViewId="0">
      <selection activeCell="E14" sqref="E14"/>
    </sheetView>
  </sheetViews>
  <sheetFormatPr defaultRowHeight="15"/>
  <cols>
    <col min="2" max="2" width="10.28515625" bestFit="1" customWidth="1"/>
    <col min="3" max="3" width="14.85546875" bestFit="1" customWidth="1"/>
    <col min="4" max="5" width="16" bestFit="1" customWidth="1"/>
    <col min="6" max="6" width="16.28515625" bestFit="1" customWidth="1"/>
    <col min="7" max="7" width="12" bestFit="1" customWidth="1"/>
    <col min="8" max="8" width="42" bestFit="1" customWidth="1"/>
    <col min="9" max="9" width="23.28515625" bestFit="1" customWidth="1"/>
    <col min="10" max="10" width="14.5703125" bestFit="1" customWidth="1"/>
  </cols>
  <sheetData>
    <row r="1" spans="1:10">
      <c r="A1" s="1099" t="s">
        <v>2356</v>
      </c>
      <c r="B1" s="1099"/>
      <c r="C1" s="1099"/>
      <c r="D1" s="1099"/>
      <c r="E1" s="1099"/>
      <c r="F1" s="1099"/>
      <c r="G1" s="1099"/>
      <c r="H1" s="1099"/>
      <c r="I1" s="1099"/>
      <c r="J1" s="1099"/>
    </row>
    <row r="2" spans="1:10">
      <c r="A2" s="8" t="s">
        <v>4</v>
      </c>
      <c r="B2" s="8" t="s">
        <v>14</v>
      </c>
      <c r="C2" s="8" t="s">
        <v>2357</v>
      </c>
      <c r="D2" s="8" t="s">
        <v>2358</v>
      </c>
      <c r="E2" s="8" t="s">
        <v>2359</v>
      </c>
      <c r="F2" s="8" t="s">
        <v>2360</v>
      </c>
      <c r="G2" s="8" t="s">
        <v>16</v>
      </c>
      <c r="H2" s="8" t="s">
        <v>2361</v>
      </c>
      <c r="I2" s="8" t="s">
        <v>2362</v>
      </c>
      <c r="J2" s="8" t="s">
        <v>2363</v>
      </c>
    </row>
    <row r="3" spans="1:10">
      <c r="A3" s="8">
        <v>651</v>
      </c>
      <c r="B3" s="8" t="s">
        <v>2364</v>
      </c>
      <c r="C3" s="176">
        <v>45172162196</v>
      </c>
      <c r="D3" s="176">
        <v>255255255255</v>
      </c>
      <c r="E3" s="176" t="s">
        <v>2365</v>
      </c>
      <c r="F3" s="78">
        <v>45848</v>
      </c>
      <c r="G3" s="8" t="s">
        <v>2366</v>
      </c>
      <c r="H3" s="8" t="s">
        <v>2367</v>
      </c>
      <c r="I3" s="8" t="s">
        <v>2368</v>
      </c>
      <c r="J3" s="8" t="s">
        <v>2369</v>
      </c>
    </row>
    <row r="4" spans="1:10">
      <c r="A4" s="8">
        <v>868</v>
      </c>
      <c r="B4" s="8" t="s">
        <v>2370</v>
      </c>
      <c r="C4" s="179" t="s">
        <v>2371</v>
      </c>
      <c r="D4" s="176">
        <v>255255255255</v>
      </c>
      <c r="E4" s="179">
        <v>186225116129</v>
      </c>
      <c r="F4" s="78">
        <v>45838</v>
      </c>
      <c r="G4" s="8" t="s">
        <v>2372</v>
      </c>
      <c r="H4" s="8" t="s">
        <v>2367</v>
      </c>
      <c r="I4" s="7" t="s">
        <v>2373</v>
      </c>
      <c r="J4" s="7" t="s">
        <v>2374</v>
      </c>
    </row>
    <row r="5" spans="1:10">
      <c r="A5" s="8">
        <v>888</v>
      </c>
      <c r="B5" s="8" t="s">
        <v>2370</v>
      </c>
      <c r="C5" s="179" t="s">
        <v>2375</v>
      </c>
      <c r="D5" s="176">
        <v>255255255255</v>
      </c>
      <c r="E5" s="179">
        <v>186225116129</v>
      </c>
      <c r="F5" s="78">
        <v>45838</v>
      </c>
      <c r="G5" s="8" t="s">
        <v>2372</v>
      </c>
      <c r="H5" s="8" t="s">
        <v>2367</v>
      </c>
      <c r="I5" s="8" t="s">
        <v>2376</v>
      </c>
      <c r="J5" s="8" t="s">
        <v>2377</v>
      </c>
    </row>
    <row r="18" spans="7:8">
      <c r="G18" s="182"/>
    </row>
    <row r="20" spans="7:8">
      <c r="H20" s="183"/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D0DA-72F1-4D25-AAE1-E46AF8C9517A}">
  <dimension ref="A1:D220"/>
  <sheetViews>
    <sheetView workbookViewId="0">
      <pane ySplit="1" topLeftCell="A2" activePane="bottomLeft" state="frozen"/>
      <selection pane="bottomLeft" activeCell="D1" sqref="D1"/>
    </sheetView>
  </sheetViews>
  <sheetFormatPr defaultRowHeight="15" customHeight="1"/>
  <cols>
    <col min="1" max="1" width="9.140625" style="6"/>
    <col min="2" max="2" width="17.7109375" style="6" customWidth="1"/>
    <col min="3" max="3" width="19.140625" style="6" customWidth="1"/>
  </cols>
  <sheetData>
    <row r="1" spans="1:4">
      <c r="A1" s="15" t="s">
        <v>4</v>
      </c>
      <c r="B1" s="15" t="s">
        <v>2378</v>
      </c>
      <c r="C1" s="15" t="s">
        <v>1943</v>
      </c>
      <c r="D1" s="265" t="s">
        <v>30</v>
      </c>
    </row>
    <row r="2" spans="1:4">
      <c r="A2" s="4">
        <v>22</v>
      </c>
      <c r="B2" s="8" t="str">
        <f>VLOOKUP(A2,'Detalhes Links Lojas'!A2:D216,4)</f>
        <v>Claro</v>
      </c>
      <c r="C2" s="8" t="str">
        <f>VLOOKUP(A2,'Detalhes Links Lojas'!A2:L216,12)</f>
        <v>Vero</v>
      </c>
      <c r="D2">
        <v>1</v>
      </c>
    </row>
    <row r="3" spans="1:4">
      <c r="A3" s="4">
        <v>43</v>
      </c>
      <c r="B3" s="8" t="str">
        <f>VLOOKUP(A3,'Detalhes Links Lojas'!A3:D217,4)</f>
        <v>Mundivox</v>
      </c>
      <c r="C3" s="8" t="str">
        <f>VLOOKUP(A3,'Detalhes Links Lojas'!A3:L217,12)</f>
        <v>Vero</v>
      </c>
      <c r="D3">
        <v>1</v>
      </c>
    </row>
    <row r="4" spans="1:4">
      <c r="A4" s="4">
        <v>80</v>
      </c>
      <c r="B4" s="8" t="str">
        <f>VLOOKUP(A4,'Detalhes Links Lojas'!A4:D218,4)</f>
        <v>Claro</v>
      </c>
      <c r="C4" s="8" t="str">
        <f>VLOOKUP(A4,'Detalhes Links Lojas'!A4:L218,12)</f>
        <v>Vivo</v>
      </c>
      <c r="D4">
        <v>1</v>
      </c>
    </row>
    <row r="5" spans="1:4">
      <c r="A5" s="4">
        <v>87</v>
      </c>
      <c r="B5" s="8" t="str">
        <f>VLOOKUP(A5,'Detalhes Links Lojas'!A5:D219,4)</f>
        <v>Claro</v>
      </c>
      <c r="C5" s="8" t="str">
        <f>VLOOKUP(A5,'Detalhes Links Lojas'!A5:L219,12)</f>
        <v>Vivo</v>
      </c>
      <c r="D5">
        <v>1</v>
      </c>
    </row>
    <row r="6" spans="1:4">
      <c r="A6" s="4">
        <v>120</v>
      </c>
      <c r="B6" s="8" t="str">
        <f>VLOOKUP(A6,'Detalhes Links Lojas'!A6:D220,4)</f>
        <v>Vtal</v>
      </c>
      <c r="C6" s="8" t="str">
        <f>VLOOKUP(A6,'Detalhes Links Lojas'!A6:L220,12)</f>
        <v>Fibrion</v>
      </c>
      <c r="D6">
        <v>1</v>
      </c>
    </row>
    <row r="7" spans="1:4">
      <c r="A7" s="4">
        <v>125</v>
      </c>
      <c r="B7" s="8" t="str">
        <f>VLOOKUP(A7,'Detalhes Links Lojas'!A7:D221,4)</f>
        <v>Claro</v>
      </c>
      <c r="C7" s="8" t="str">
        <f>VLOOKUP(A7,'Detalhes Links Lojas'!A7:L221,12)</f>
        <v>Vivo</v>
      </c>
      <c r="D7">
        <v>1</v>
      </c>
    </row>
    <row r="8" spans="1:4">
      <c r="A8" s="4">
        <v>130</v>
      </c>
      <c r="B8" s="8" t="str">
        <f>VLOOKUP(A8,'Detalhes Links Lojas'!A8:D222,4)</f>
        <v>Claro</v>
      </c>
      <c r="C8" s="8" t="str">
        <f>VLOOKUP(A8,'Detalhes Links Lojas'!A8:L222,12)</f>
        <v>Vivo</v>
      </c>
      <c r="D8">
        <v>1</v>
      </c>
    </row>
    <row r="9" spans="1:4">
      <c r="A9" s="4">
        <v>133</v>
      </c>
      <c r="B9" s="8" t="str">
        <f>VLOOKUP(A9,'Detalhes Links Lojas'!A9:D223,4)</f>
        <v>Claro</v>
      </c>
      <c r="C9" s="8" t="str">
        <f>VLOOKUP(A9,'Detalhes Links Lojas'!A9:L223,12)</f>
        <v>SP18</v>
      </c>
      <c r="D9">
        <v>1</v>
      </c>
    </row>
    <row r="10" spans="1:4">
      <c r="A10" s="4">
        <v>135</v>
      </c>
      <c r="B10" s="8" t="str">
        <f>VLOOKUP(A10,'Detalhes Links Lojas'!A10:D223,4)</f>
        <v>Algar</v>
      </c>
      <c r="C10" s="8" t="str">
        <f>VLOOKUP(A10,'Detalhes Links Lojas'!A10:L223,12)</f>
        <v>Claro</v>
      </c>
      <c r="D10">
        <v>1</v>
      </c>
    </row>
    <row r="11" spans="1:4">
      <c r="A11" s="4">
        <v>136</v>
      </c>
      <c r="B11" s="8" t="str">
        <f>VLOOKUP(A11,'Detalhes Links Lojas'!A11:D223,4)</f>
        <v>Mundivox</v>
      </c>
      <c r="C11" s="8" t="str">
        <f>VLOOKUP(A11,'Detalhes Links Lojas'!A11:L223,12)</f>
        <v>Vero</v>
      </c>
      <c r="D11">
        <v>1</v>
      </c>
    </row>
    <row r="12" spans="1:4">
      <c r="A12" s="4">
        <v>140</v>
      </c>
      <c r="B12" s="8" t="str">
        <f>VLOOKUP(A12,'Detalhes Links Lojas'!A12:D224,4)</f>
        <v>Vtal</v>
      </c>
      <c r="C12" s="8" t="str">
        <f>VLOOKUP(A12,'Detalhes Links Lojas'!A12:L224,12)</f>
        <v>Claro</v>
      </c>
      <c r="D12">
        <v>1</v>
      </c>
    </row>
    <row r="13" spans="1:4">
      <c r="A13" s="4">
        <v>142</v>
      </c>
      <c r="B13" s="8" t="str">
        <f>VLOOKUP(A13,'Detalhes Links Lojas'!A13:D225,4)</f>
        <v>Mundivox</v>
      </c>
      <c r="C13" s="8" t="str">
        <f>VLOOKUP(A13,'Detalhes Links Lojas'!A13:L225,12)</f>
        <v>Vero</v>
      </c>
      <c r="D13">
        <v>1</v>
      </c>
    </row>
    <row r="14" spans="1:4">
      <c r="A14" s="4">
        <v>150</v>
      </c>
      <c r="B14" s="8" t="str">
        <f>VLOOKUP(A14,'Detalhes Links Lojas'!A14:D226,4)</f>
        <v>Claro</v>
      </c>
      <c r="C14" s="8" t="str">
        <f>VLOOKUP(A14,'Detalhes Links Lojas'!A14:L226,12)</f>
        <v>Fibrion</v>
      </c>
      <c r="D14">
        <v>1</v>
      </c>
    </row>
    <row r="15" spans="1:4">
      <c r="A15" s="4">
        <v>160</v>
      </c>
      <c r="B15" s="8" t="str">
        <f>VLOOKUP(A15,'Detalhes Links Lojas'!A15:D227,4)</f>
        <v>Claro</v>
      </c>
      <c r="C15" s="8" t="str">
        <f>VLOOKUP(A15,'Detalhes Links Lojas'!A15:L227,12)</f>
        <v>Vivo</v>
      </c>
      <c r="D15">
        <v>1</v>
      </c>
    </row>
    <row r="16" spans="1:4">
      <c r="A16" s="4">
        <v>165</v>
      </c>
      <c r="B16" s="8" t="str">
        <f>VLOOKUP(A16,'Detalhes Links Lojas'!A16:D228,4)</f>
        <v>Mundivox</v>
      </c>
      <c r="C16" s="8" t="str">
        <f>VLOOKUP(A16,'Detalhes Links Lojas'!A16:L228,12)</f>
        <v>Vero</v>
      </c>
      <c r="D16">
        <v>1</v>
      </c>
    </row>
    <row r="17" spans="1:4">
      <c r="A17" s="4">
        <v>176</v>
      </c>
      <c r="B17" s="8" t="str">
        <f>VLOOKUP(A17,'Detalhes Links Lojas'!A17:D229,4)</f>
        <v>Mundivox</v>
      </c>
      <c r="C17" s="8" t="str">
        <f>VLOOKUP(A17,'Detalhes Links Lojas'!A17:L229,12)</f>
        <v>Vero</v>
      </c>
      <c r="D17">
        <v>1</v>
      </c>
    </row>
    <row r="18" spans="1:4">
      <c r="A18" s="4">
        <v>178</v>
      </c>
      <c r="B18" s="8" t="str">
        <f>VLOOKUP(A18,'Detalhes Links Lojas'!A18:D230,4)</f>
        <v>Claro</v>
      </c>
      <c r="C18" s="8" t="str">
        <f>VLOOKUP(A18,'Detalhes Links Lojas'!A18:L230,12)</f>
        <v>Vivo</v>
      </c>
      <c r="D18">
        <v>1</v>
      </c>
    </row>
    <row r="19" spans="1:4">
      <c r="A19" s="4">
        <v>180</v>
      </c>
      <c r="B19" s="8" t="str">
        <f>VLOOKUP(A19,'Detalhes Links Lojas'!A19:D231,4)</f>
        <v>Fibrion</v>
      </c>
      <c r="C19" s="8" t="str">
        <f>VLOOKUP(A19,'Detalhes Links Lojas'!A19:L231,12)</f>
        <v>Claro</v>
      </c>
      <c r="D19">
        <v>1</v>
      </c>
    </row>
    <row r="20" spans="1:4">
      <c r="A20" s="4">
        <v>196</v>
      </c>
      <c r="B20" s="8" t="str">
        <f>VLOOKUP(A20,'Detalhes Links Lojas'!A20:D232,4)</f>
        <v>Claro</v>
      </c>
      <c r="C20" s="8" t="str">
        <f>VLOOKUP(A20,'Detalhes Links Lojas'!A20:L232,12)</f>
        <v>Irapido</v>
      </c>
      <c r="D20">
        <v>1</v>
      </c>
    </row>
    <row r="21" spans="1:4">
      <c r="A21" s="4">
        <v>508</v>
      </c>
      <c r="B21" s="8" t="str">
        <f>VLOOKUP(A21,'Detalhes Links Lojas'!A21:D233,4)</f>
        <v>Claro</v>
      </c>
      <c r="C21" s="8" t="str">
        <f>VLOOKUP(A21,'Detalhes Links Lojas'!A21:L233,12)</f>
        <v>Vivo</v>
      </c>
      <c r="D21">
        <v>1</v>
      </c>
    </row>
    <row r="22" spans="1:4">
      <c r="A22" s="4">
        <v>510</v>
      </c>
      <c r="B22" s="8" t="str">
        <f>VLOOKUP(A22,'Detalhes Links Lojas'!A22:D234,4)</f>
        <v>Claro</v>
      </c>
      <c r="C22" s="8" t="str">
        <f>VLOOKUP(A22,'Detalhes Links Lojas'!A22:L234,12)</f>
        <v>Tesa</v>
      </c>
      <c r="D22">
        <v>1</v>
      </c>
    </row>
    <row r="23" spans="1:4">
      <c r="A23" s="4">
        <v>514</v>
      </c>
      <c r="B23" s="8" t="str">
        <f>VLOOKUP(A23,'Detalhes Links Lojas'!A23:D237,4)</f>
        <v>Claro</v>
      </c>
      <c r="C23" s="8" t="str">
        <f>VLOOKUP(A23,'Detalhes Links Lojas'!A23:L237,12)</f>
        <v>Vivo</v>
      </c>
      <c r="D23">
        <v>1</v>
      </c>
    </row>
    <row r="24" spans="1:4">
      <c r="A24" s="4">
        <v>515</v>
      </c>
      <c r="B24" s="8" t="str">
        <f>VLOOKUP(A24,'Detalhes Links Lojas'!A24:D238,4)</f>
        <v>Mundivox</v>
      </c>
      <c r="C24" s="8" t="str">
        <f>VLOOKUP(A24,'Detalhes Links Lojas'!A24:L238,12)</f>
        <v>Vero</v>
      </c>
      <c r="D24">
        <v>1</v>
      </c>
    </row>
    <row r="25" spans="1:4">
      <c r="A25" s="4">
        <v>517</v>
      </c>
      <c r="B25" s="8" t="str">
        <f>VLOOKUP(A25,'Detalhes Links Lojas'!A25:D239,4)</f>
        <v>Claro</v>
      </c>
      <c r="C25" s="8" t="str">
        <f>VLOOKUP(A25,'Detalhes Links Lojas'!A25:L239,12)</f>
        <v>Vtal</v>
      </c>
      <c r="D25">
        <v>1</v>
      </c>
    </row>
    <row r="26" spans="1:4">
      <c r="A26" s="4">
        <v>518</v>
      </c>
      <c r="B26" s="8" t="str">
        <f>VLOOKUP(A26,'Detalhes Links Lojas'!A26:D240,4)</f>
        <v>Claro</v>
      </c>
      <c r="C26" s="8" t="str">
        <f>VLOOKUP(A26,'Detalhes Links Lojas'!A26:L240,12)</f>
        <v>Vero</v>
      </c>
      <c r="D26">
        <v>1</v>
      </c>
    </row>
    <row r="27" spans="1:4">
      <c r="A27" s="4">
        <v>519</v>
      </c>
      <c r="B27" s="8" t="str">
        <f>VLOOKUP(A27,'Detalhes Links Lojas'!A27:D241,4)</f>
        <v>Vtal</v>
      </c>
      <c r="C27" s="8" t="str">
        <f>VLOOKUP(A27,'Detalhes Links Lojas'!A27:L241,12)</f>
        <v>Claro</v>
      </c>
      <c r="D27">
        <v>1</v>
      </c>
    </row>
    <row r="28" spans="1:4">
      <c r="A28" s="4">
        <v>520</v>
      </c>
      <c r="B28" s="8" t="str">
        <f>VLOOKUP(A28,'Detalhes Links Lojas'!A28:D242,4)</f>
        <v>Claro</v>
      </c>
      <c r="C28" s="8" t="str">
        <f>VLOOKUP(A28,'Detalhes Links Lojas'!A28:L242,12)</f>
        <v>Vero</v>
      </c>
      <c r="D28">
        <v>1</v>
      </c>
    </row>
    <row r="29" spans="1:4">
      <c r="A29" s="4">
        <v>525</v>
      </c>
      <c r="B29" s="8" t="str">
        <f>VLOOKUP(A29,'Detalhes Links Lojas'!A29:D243,4)</f>
        <v>Claro</v>
      </c>
      <c r="C29" s="8" t="str">
        <f>VLOOKUP(A29,'Detalhes Links Lojas'!A29:L243,12)</f>
        <v>Vivo</v>
      </c>
      <c r="D29">
        <v>1</v>
      </c>
    </row>
    <row r="30" spans="1:4">
      <c r="A30" s="4">
        <v>526</v>
      </c>
      <c r="B30" s="8" t="str">
        <f>VLOOKUP(A30,'Detalhes Links Lojas'!A30:D244,4)</f>
        <v>Algar</v>
      </c>
      <c r="C30" s="8" t="str">
        <f>VLOOKUP(A30,'Detalhes Links Lojas'!A30:L244,12)</f>
        <v>Vero</v>
      </c>
      <c r="D30">
        <v>1</v>
      </c>
    </row>
    <row r="31" spans="1:4">
      <c r="A31" s="4">
        <v>527</v>
      </c>
      <c r="B31" s="8" t="str">
        <f>VLOOKUP(A31,'Detalhes Links Lojas'!A31:D245,4)</f>
        <v>Claro</v>
      </c>
      <c r="C31" s="8" t="str">
        <f>VLOOKUP(A31,'Detalhes Links Lojas'!A31:L245,12)</f>
        <v>Irapido</v>
      </c>
      <c r="D31">
        <v>1</v>
      </c>
    </row>
    <row r="32" spans="1:4">
      <c r="A32" s="4">
        <v>529</v>
      </c>
      <c r="B32" s="8" t="str">
        <f>VLOOKUP(A32,'Detalhes Links Lojas'!A32:D246,4)</f>
        <v>Claro</v>
      </c>
      <c r="C32" s="8" t="str">
        <f>VLOOKUP(A32,'Detalhes Links Lojas'!A32:L246,12)</f>
        <v>Vero</v>
      </c>
      <c r="D32">
        <v>1</v>
      </c>
    </row>
    <row r="33" spans="1:4">
      <c r="A33" s="4">
        <v>531</v>
      </c>
      <c r="B33" s="8" t="str">
        <f>VLOOKUP(A33,'Detalhes Links Lojas'!A33:D247,4)</f>
        <v>Mundivox</v>
      </c>
      <c r="C33" s="8" t="str">
        <f>VLOOKUP(A33,'Detalhes Links Lojas'!A33:L247,12)</f>
        <v>Vivo</v>
      </c>
      <c r="D33">
        <v>1</v>
      </c>
    </row>
    <row r="34" spans="1:4">
      <c r="A34" s="4">
        <v>534</v>
      </c>
      <c r="B34" s="8" t="str">
        <f>VLOOKUP(A34,'Detalhes Links Lojas'!A34:D248,4)</f>
        <v>Fibrion</v>
      </c>
      <c r="C34" s="8" t="str">
        <f>VLOOKUP(A34,'Detalhes Links Lojas'!A34:L248,12)</f>
        <v>Claro</v>
      </c>
      <c r="D34">
        <v>1</v>
      </c>
    </row>
    <row r="35" spans="1:4">
      <c r="A35" s="4">
        <v>535</v>
      </c>
      <c r="B35" s="8" t="str">
        <f>VLOOKUP(A35,'Detalhes Links Lojas'!A35:D249,4)</f>
        <v>Claro</v>
      </c>
      <c r="C35" s="8" t="str">
        <f>VLOOKUP(A35,'Detalhes Links Lojas'!A35:L249,12)</f>
        <v>Vivo</v>
      </c>
      <c r="D35">
        <v>1</v>
      </c>
    </row>
    <row r="36" spans="1:4">
      <c r="A36" s="4">
        <v>536</v>
      </c>
      <c r="B36" s="8" t="str">
        <f>VLOOKUP(A36,'Detalhes Links Lojas'!A36:D250,4)</f>
        <v>Algar</v>
      </c>
      <c r="C36" s="8" t="str">
        <f>VLOOKUP(A36,'Detalhes Links Lojas'!A36:L250,12)</f>
        <v>Claro</v>
      </c>
      <c r="D36">
        <v>1</v>
      </c>
    </row>
    <row r="37" spans="1:4">
      <c r="A37" s="4">
        <v>544</v>
      </c>
      <c r="B37" s="8" t="str">
        <f>VLOOKUP(A37,'Detalhes Links Lojas'!A37:D252,4)</f>
        <v>Mundivox</v>
      </c>
      <c r="C37" s="8" t="str">
        <f>VLOOKUP(A37,'Detalhes Links Lojas'!A37:L252,12)</f>
        <v>Vero</v>
      </c>
      <c r="D37">
        <v>1</v>
      </c>
    </row>
    <row r="38" spans="1:4">
      <c r="A38" s="4">
        <v>546</v>
      </c>
      <c r="B38" s="8" t="str">
        <f>VLOOKUP(A38,'Detalhes Links Lojas'!A38:D253,4)</f>
        <v>Claro</v>
      </c>
      <c r="C38" s="8" t="str">
        <f>VLOOKUP(A38,'Detalhes Links Lojas'!A38:L253,12)</f>
        <v>Vero</v>
      </c>
      <c r="D38">
        <v>1</v>
      </c>
    </row>
    <row r="39" spans="1:4">
      <c r="A39" s="4">
        <v>547</v>
      </c>
      <c r="B39" s="8" t="str">
        <f>VLOOKUP(A39,'Detalhes Links Lojas'!A39:D254,4)</f>
        <v>Fibrion</v>
      </c>
      <c r="C39" s="8" t="str">
        <f>VLOOKUP(A39,'Detalhes Links Lojas'!A39:L254,12)</f>
        <v>Vero</v>
      </c>
      <c r="D39">
        <v>1</v>
      </c>
    </row>
    <row r="40" spans="1:4">
      <c r="A40" s="4">
        <v>548</v>
      </c>
      <c r="B40" s="8" t="str">
        <f>VLOOKUP(A40,'Detalhes Links Lojas'!A40:D255,4)</f>
        <v>Claro</v>
      </c>
      <c r="C40" s="8" t="str">
        <f>VLOOKUP(A40,'Detalhes Links Lojas'!A40:L255,12)</f>
        <v>Vivo</v>
      </c>
      <c r="D40">
        <v>1</v>
      </c>
    </row>
    <row r="41" spans="1:4">
      <c r="A41" s="4">
        <v>549</v>
      </c>
      <c r="B41" s="8" t="str">
        <f>VLOOKUP(A41,'Detalhes Links Lojas'!A41:D256,4)</f>
        <v>Claro</v>
      </c>
      <c r="C41" s="8" t="str">
        <f>VLOOKUP(A41,'Detalhes Links Lojas'!A41:L256,12)</f>
        <v>Vero</v>
      </c>
      <c r="D41">
        <v>1</v>
      </c>
    </row>
    <row r="42" spans="1:4">
      <c r="A42" s="4">
        <v>550</v>
      </c>
      <c r="B42" s="8" t="str">
        <f>VLOOKUP(A42,'Detalhes Links Lojas'!A42:D257,4)</f>
        <v>Mundivox</v>
      </c>
      <c r="C42" s="8" t="str">
        <f>VLOOKUP(A42,'Detalhes Links Lojas'!A42:L257,12)</f>
        <v>Claro</v>
      </c>
      <c r="D42">
        <v>1</v>
      </c>
    </row>
    <row r="43" spans="1:4">
      <c r="A43" s="4">
        <v>553</v>
      </c>
      <c r="B43" s="8" t="str">
        <f>VLOOKUP(A43,'Detalhes Links Lojas'!A43:D258,4)</f>
        <v>Algar</v>
      </c>
      <c r="C43" s="8" t="str">
        <f>VLOOKUP(A43,'Detalhes Links Lojas'!A43:L258,12)</f>
        <v>Claro</v>
      </c>
      <c r="D43">
        <v>1</v>
      </c>
    </row>
    <row r="44" spans="1:4">
      <c r="A44" s="4">
        <v>558</v>
      </c>
      <c r="B44" s="8" t="str">
        <f>VLOOKUP(A44,'Detalhes Links Lojas'!A44:D259,4)</f>
        <v>Claro</v>
      </c>
      <c r="C44" s="8" t="str">
        <f>VLOOKUP(A44,'Detalhes Links Lojas'!A44:L259,12)</f>
        <v>Vivo</v>
      </c>
      <c r="D44">
        <v>1</v>
      </c>
    </row>
    <row r="45" spans="1:4">
      <c r="A45" s="4">
        <v>559</v>
      </c>
      <c r="B45" s="8" t="str">
        <f>VLOOKUP(A45,'Detalhes Links Lojas'!A45:D260,4)</f>
        <v>Claro</v>
      </c>
      <c r="C45" s="8" t="str">
        <f>VLOOKUP(A45,'Detalhes Links Lojas'!A45:L260,12)</f>
        <v>Vero</v>
      </c>
      <c r="D45">
        <v>1</v>
      </c>
    </row>
    <row r="46" spans="1:4">
      <c r="A46" s="4">
        <v>560</v>
      </c>
      <c r="B46" s="8" t="str">
        <f>VLOOKUP(A46,'Detalhes Links Lojas'!A46:D261,4)</f>
        <v>Claro</v>
      </c>
      <c r="C46" s="8" t="str">
        <f>VLOOKUP(A46,'Detalhes Links Lojas'!A46:L261,12)</f>
        <v>Vtal</v>
      </c>
      <c r="D46">
        <v>1</v>
      </c>
    </row>
    <row r="47" spans="1:4">
      <c r="A47" s="4">
        <v>563</v>
      </c>
      <c r="B47" s="8" t="str">
        <f>VLOOKUP(A47,'Detalhes Links Lojas'!A47:D262,4)</f>
        <v>Algar</v>
      </c>
      <c r="C47" s="8" t="str">
        <f>VLOOKUP(A47,'Detalhes Links Lojas'!A47:L262,12)</f>
        <v>Vero</v>
      </c>
      <c r="D47">
        <v>1</v>
      </c>
    </row>
    <row r="48" spans="1:4">
      <c r="A48" s="4">
        <v>564</v>
      </c>
      <c r="B48" s="8" t="str">
        <f>VLOOKUP(A48,'Detalhes Links Lojas'!A48:D263,4)</f>
        <v>Claro</v>
      </c>
      <c r="C48" s="8" t="str">
        <f>VLOOKUP(A48,'Detalhes Links Lojas'!A48:L263,12)</f>
        <v>Vero</v>
      </c>
      <c r="D48">
        <v>1</v>
      </c>
    </row>
    <row r="49" spans="1:4">
      <c r="A49" s="4">
        <v>565</v>
      </c>
      <c r="B49" s="8" t="str">
        <f>VLOOKUP(A49,'Detalhes Links Lojas'!A49:D264,4)</f>
        <v>Mundivox</v>
      </c>
      <c r="C49" s="8" t="str">
        <f>VLOOKUP(A49,'Detalhes Links Lojas'!A49:L264,12)</f>
        <v>Claro</v>
      </c>
      <c r="D49">
        <v>1</v>
      </c>
    </row>
    <row r="50" spans="1:4">
      <c r="A50" s="4">
        <v>566</v>
      </c>
      <c r="B50" s="8" t="str">
        <f>VLOOKUP(A50,'Detalhes Links Lojas'!A50:D265,4)</f>
        <v>Claro</v>
      </c>
      <c r="C50" s="8" t="str">
        <f>VLOOKUP(A50,'Detalhes Links Lojas'!A50:L265,12)</f>
        <v>Vivo</v>
      </c>
      <c r="D50">
        <v>1</v>
      </c>
    </row>
    <row r="51" spans="1:4">
      <c r="A51" s="4">
        <v>571</v>
      </c>
      <c r="B51" s="8" t="str">
        <f>VLOOKUP(A51,'Detalhes Links Lojas'!A51:D267,4)</f>
        <v>Claro</v>
      </c>
      <c r="C51" s="8" t="str">
        <f>VLOOKUP(A51,'Detalhes Links Lojas'!A51:L267,12)</f>
        <v>Fibrion</v>
      </c>
      <c r="D51">
        <v>1</v>
      </c>
    </row>
    <row r="52" spans="1:4">
      <c r="A52" s="4">
        <v>573</v>
      </c>
      <c r="B52" s="8" t="str">
        <f>VLOOKUP(A52,'Detalhes Links Lojas'!A52:D268,4)</f>
        <v>Claro</v>
      </c>
      <c r="C52" s="8" t="str">
        <f>VLOOKUP(A52,'Detalhes Links Lojas'!A52:L268,12)</f>
        <v>Vivo</v>
      </c>
      <c r="D52">
        <v>1</v>
      </c>
    </row>
    <row r="53" spans="1:4">
      <c r="A53" s="4">
        <v>575</v>
      </c>
      <c r="B53" s="8" t="str">
        <f>VLOOKUP(A53,'Detalhes Links Lojas'!A53:D269,4)</f>
        <v>Fibrion</v>
      </c>
      <c r="C53" s="8" t="str">
        <f>VLOOKUP(A53,'Detalhes Links Lojas'!A53:L269,12)</f>
        <v>Vtal</v>
      </c>
      <c r="D53">
        <v>1</v>
      </c>
    </row>
    <row r="54" spans="1:4">
      <c r="A54" s="4">
        <v>576</v>
      </c>
      <c r="B54" s="8" t="str">
        <f>VLOOKUP(A54,'Detalhes Links Lojas'!A54:D270,4)</f>
        <v>Mundivox</v>
      </c>
      <c r="C54" s="8" t="str">
        <f>VLOOKUP(A54,'Detalhes Links Lojas'!A54:L270,12)</f>
        <v>Vero</v>
      </c>
      <c r="D54">
        <v>1</v>
      </c>
    </row>
    <row r="55" spans="1:4">
      <c r="A55" s="4">
        <v>577</v>
      </c>
      <c r="B55" s="8" t="str">
        <f>VLOOKUP(A55,'Detalhes Links Lojas'!A55:D271,4)</f>
        <v>Claro</v>
      </c>
      <c r="C55" s="8" t="str">
        <f>VLOOKUP(A55,'Detalhes Links Lojas'!A55:L271,12)</f>
        <v>Vero</v>
      </c>
      <c r="D55">
        <v>1</v>
      </c>
    </row>
    <row r="56" spans="1:4">
      <c r="A56" s="4">
        <v>578</v>
      </c>
      <c r="B56" s="8" t="str">
        <f>VLOOKUP(A56,'Detalhes Links Lojas'!A56:D272,4)</f>
        <v>Claro</v>
      </c>
      <c r="C56" s="8" t="str">
        <f>VLOOKUP(A56,'Detalhes Links Lojas'!A56:L272,12)</f>
        <v>Vivo</v>
      </c>
      <c r="D56">
        <v>1</v>
      </c>
    </row>
    <row r="57" spans="1:4">
      <c r="A57" s="4">
        <v>579</v>
      </c>
      <c r="B57" s="8" t="str">
        <f>VLOOKUP(A57,'Detalhes Links Lojas'!A57:D273,4)</f>
        <v>Algar</v>
      </c>
      <c r="C57" s="8" t="str">
        <f>VLOOKUP(A57,'Detalhes Links Lojas'!A57:L273,12)</f>
        <v>Vero</v>
      </c>
      <c r="D57">
        <v>1</v>
      </c>
    </row>
    <row r="58" spans="1:4">
      <c r="A58" s="4">
        <v>580</v>
      </c>
      <c r="B58" s="8" t="str">
        <f>VLOOKUP(A58,'Detalhes Links Lojas'!A58:D274,4)</f>
        <v>Claro</v>
      </c>
      <c r="C58" s="8" t="str">
        <f>VLOOKUP(A58,'Detalhes Links Lojas'!A58:L274,12)</f>
        <v>Vivo</v>
      </c>
      <c r="D58">
        <v>1</v>
      </c>
    </row>
    <row r="59" spans="1:4">
      <c r="A59" s="4">
        <v>582</v>
      </c>
      <c r="B59" s="8" t="str">
        <f>VLOOKUP(A59,'Detalhes Links Lojas'!A59:D275,4)</f>
        <v>Claro</v>
      </c>
      <c r="C59" s="8" t="str">
        <f>VLOOKUP(A59,'Detalhes Links Lojas'!A59:L275,12)</f>
        <v>Vivo</v>
      </c>
      <c r="D59">
        <v>1</v>
      </c>
    </row>
    <row r="60" spans="1:4">
      <c r="A60" s="4">
        <v>583</v>
      </c>
      <c r="B60" s="8" t="str">
        <f>VLOOKUP(A60,'Detalhes Links Lojas'!A60:D276,4)</f>
        <v>Algar</v>
      </c>
      <c r="C60" s="8" t="str">
        <f>VLOOKUP(A60,'Detalhes Links Lojas'!A60:L276,12)</f>
        <v>Claro</v>
      </c>
      <c r="D60">
        <v>1</v>
      </c>
    </row>
    <row r="61" spans="1:4">
      <c r="A61" s="4">
        <v>586</v>
      </c>
      <c r="B61" s="8" t="str">
        <f>VLOOKUP(A61,'Detalhes Links Lojas'!A61:D277,4)</f>
        <v>Mundivox</v>
      </c>
      <c r="C61" s="8" t="str">
        <f>VLOOKUP(A61,'Detalhes Links Lojas'!A61:L277,12)</f>
        <v>Vero</v>
      </c>
      <c r="D61">
        <v>1</v>
      </c>
    </row>
    <row r="62" spans="1:4">
      <c r="A62" s="4">
        <v>589</v>
      </c>
      <c r="B62" s="8" t="str">
        <f>VLOOKUP(A62,'Detalhes Links Lojas'!A62:D278,4)</f>
        <v>Algar</v>
      </c>
      <c r="C62" s="8" t="str">
        <f>VLOOKUP(A62,'Detalhes Links Lojas'!A62:L278,12)</f>
        <v>Vivo</v>
      </c>
      <c r="D62">
        <v>1</v>
      </c>
    </row>
    <row r="63" spans="1:4">
      <c r="A63" s="4">
        <v>590</v>
      </c>
      <c r="B63" s="8" t="str">
        <f>VLOOKUP(A63,'Detalhes Links Lojas'!A63:D279,4)</f>
        <v>Claro</v>
      </c>
      <c r="C63" s="8" t="str">
        <f>VLOOKUP(A63,'Detalhes Links Lojas'!A63:L279,12)</f>
        <v>Mundivox</v>
      </c>
      <c r="D63">
        <v>1</v>
      </c>
    </row>
    <row r="64" spans="1:4">
      <c r="A64" s="4">
        <v>594</v>
      </c>
      <c r="B64" s="8" t="str">
        <f>VLOOKUP(A64,'Detalhes Links Lojas'!A64:D280,4)</f>
        <v>Vtal</v>
      </c>
      <c r="C64" s="8" t="str">
        <f>VLOOKUP(A64,'Detalhes Links Lojas'!A64:L280,12)</f>
        <v>Claro</v>
      </c>
      <c r="D64">
        <v>1</v>
      </c>
    </row>
    <row r="65" spans="1:4">
      <c r="A65" s="4">
        <v>598</v>
      </c>
      <c r="B65" s="8" t="str">
        <f>VLOOKUP(A65,'Detalhes Links Lojas'!A65:D282,4)</f>
        <v>Claro</v>
      </c>
      <c r="C65" s="8" t="str">
        <f>VLOOKUP(A65,'Detalhes Links Lojas'!A65:L282,12)</f>
        <v>Vivo</v>
      </c>
      <c r="D65">
        <v>1</v>
      </c>
    </row>
    <row r="66" spans="1:4">
      <c r="A66" s="4">
        <v>599</v>
      </c>
      <c r="B66" s="8" t="str">
        <f>VLOOKUP(A66,'Detalhes Links Lojas'!A66:D283,4)</f>
        <v>Claro</v>
      </c>
      <c r="C66" s="8" t="str">
        <f>VLOOKUP(A66,'Detalhes Links Lojas'!A66:L283,12)</f>
        <v>Vivo</v>
      </c>
      <c r="D66">
        <v>1</v>
      </c>
    </row>
    <row r="67" spans="1:4">
      <c r="A67" s="4">
        <v>600</v>
      </c>
      <c r="B67" s="8" t="str">
        <f>VLOOKUP(A67,'Detalhes Links Lojas'!A67:D284,4)</f>
        <v>Claro</v>
      </c>
      <c r="C67" s="8" t="str">
        <f>VLOOKUP(A67,'Detalhes Links Lojas'!A67:L284,12)</f>
        <v>Mundivox</v>
      </c>
      <c r="D67">
        <v>1</v>
      </c>
    </row>
    <row r="68" spans="1:4">
      <c r="A68" s="4">
        <v>601</v>
      </c>
      <c r="B68" s="8" t="str">
        <f>VLOOKUP(A68,'Detalhes Links Lojas'!A68:D285,4)</f>
        <v>Mundivox</v>
      </c>
      <c r="C68" s="8" t="str">
        <f>VLOOKUP(A68,'Detalhes Links Lojas'!A68:L285,12)</f>
        <v>Claro</v>
      </c>
      <c r="D68">
        <v>1</v>
      </c>
    </row>
    <row r="69" spans="1:4">
      <c r="A69" s="4">
        <v>605</v>
      </c>
      <c r="B69" s="8" t="str">
        <f>VLOOKUP(A69,'Detalhes Links Lojas'!A69:D287,4)</f>
        <v>Claro</v>
      </c>
      <c r="C69" s="8" t="str">
        <f>VLOOKUP(A69,'Detalhes Links Lojas'!A69:L287,12)</f>
        <v>Vivo</v>
      </c>
      <c r="D69">
        <v>1</v>
      </c>
    </row>
    <row r="70" spans="1:4">
      <c r="A70" s="4">
        <v>606</v>
      </c>
      <c r="B70" s="8" t="str">
        <f>VLOOKUP(A70,'Detalhes Links Lojas'!A70:D288,4)</f>
        <v>Claro</v>
      </c>
      <c r="C70" s="8" t="str">
        <f>VLOOKUP(A70,'Detalhes Links Lojas'!A70:L288,12)</f>
        <v>Vero</v>
      </c>
      <c r="D70">
        <v>1</v>
      </c>
    </row>
    <row r="71" spans="1:4">
      <c r="A71" s="4">
        <v>607</v>
      </c>
      <c r="B71" s="8" t="str">
        <f>VLOOKUP(A71,'Detalhes Links Lojas'!A71:D289,4)</f>
        <v>Claro</v>
      </c>
      <c r="C71" s="8" t="str">
        <f>VLOOKUP(A71,'Detalhes Links Lojas'!A71:L289,12)</f>
        <v>Vero</v>
      </c>
      <c r="D71">
        <v>1</v>
      </c>
    </row>
    <row r="72" spans="1:4">
      <c r="A72" s="4">
        <v>608</v>
      </c>
      <c r="B72" s="8" t="str">
        <f>VLOOKUP(A72,'Detalhes Links Lojas'!A72:D290,4)</f>
        <v>Claro</v>
      </c>
      <c r="C72" s="8" t="str">
        <f>VLOOKUP(A72,'Detalhes Links Lojas'!A72:L290,12)</f>
        <v>Vivo</v>
      </c>
      <c r="D72">
        <v>1</v>
      </c>
    </row>
    <row r="73" spans="1:4">
      <c r="A73" s="4">
        <v>610</v>
      </c>
      <c r="B73" s="8" t="str">
        <f>VLOOKUP(A73,'Detalhes Links Lojas'!A73:D291,4)</f>
        <v>Claro</v>
      </c>
      <c r="C73" s="8" t="str">
        <f>VLOOKUP(A73,'Detalhes Links Lojas'!A73:L291,12)</f>
        <v>Vivo</v>
      </c>
      <c r="D73">
        <v>1</v>
      </c>
    </row>
    <row r="74" spans="1:4">
      <c r="A74" s="4">
        <v>613</v>
      </c>
      <c r="B74" s="8" t="str">
        <f>VLOOKUP(A74,'Detalhes Links Lojas'!A74:D292,4)</f>
        <v>Claro</v>
      </c>
      <c r="C74" s="8" t="str">
        <f>VLOOKUP(A74,'Detalhes Links Lojas'!A74:L292,12)</f>
        <v>Vero</v>
      </c>
      <c r="D74">
        <v>1</v>
      </c>
    </row>
    <row r="75" spans="1:4">
      <c r="A75" s="4">
        <v>617</v>
      </c>
      <c r="B75" s="8" t="str">
        <f>VLOOKUP(A75,'Detalhes Links Lojas'!A75:D293,4)</f>
        <v>Algar</v>
      </c>
      <c r="C75" s="8" t="str">
        <f>VLOOKUP(A75,'Detalhes Links Lojas'!A75:L293,12)</f>
        <v>Claro</v>
      </c>
      <c r="D75">
        <v>1</v>
      </c>
    </row>
    <row r="76" spans="1:4">
      <c r="A76" s="4">
        <v>618</v>
      </c>
      <c r="B76" s="8" t="str">
        <f>VLOOKUP(A76,'Detalhes Links Lojas'!A76:D294,4)</f>
        <v>Claro</v>
      </c>
      <c r="C76" s="8" t="str">
        <f>VLOOKUP(A76,'Detalhes Links Lojas'!A76:L294,12)</f>
        <v>Vtal</v>
      </c>
      <c r="D76">
        <v>1</v>
      </c>
    </row>
    <row r="77" spans="1:4">
      <c r="A77" s="4">
        <v>619</v>
      </c>
      <c r="B77" s="8" t="str">
        <f>VLOOKUP(A77,'Detalhes Links Lojas'!A77:D295,4)</f>
        <v>Claro</v>
      </c>
      <c r="C77" s="8" t="str">
        <f>VLOOKUP(A77,'Detalhes Links Lojas'!A77:L295,12)</f>
        <v>Vero</v>
      </c>
      <c r="D77">
        <v>1</v>
      </c>
    </row>
    <row r="78" spans="1:4">
      <c r="A78" s="4">
        <v>622</v>
      </c>
      <c r="B78" s="8" t="str">
        <f>VLOOKUP(A78,'Detalhes Links Lojas'!A78:D296,4)</f>
        <v>Wipi</v>
      </c>
      <c r="C78" s="8" t="str">
        <f>VLOOKUP(A78,'Detalhes Links Lojas'!A78:L296,12)</f>
        <v>Vero</v>
      </c>
      <c r="D78">
        <v>1</v>
      </c>
    </row>
    <row r="79" spans="1:4">
      <c r="A79" s="4">
        <v>623</v>
      </c>
      <c r="B79" s="8" t="str">
        <f>VLOOKUP(A79,'Detalhes Links Lojas'!A79:D297,4)</f>
        <v>Claro</v>
      </c>
      <c r="C79" s="8" t="str">
        <f>VLOOKUP(A79,'Detalhes Links Lojas'!A79:L297,12)</f>
        <v>WFT/AST</v>
      </c>
      <c r="D79">
        <v>1</v>
      </c>
    </row>
    <row r="80" spans="1:4">
      <c r="A80" s="4">
        <v>624</v>
      </c>
      <c r="B80" s="8" t="str">
        <f>VLOOKUP(A80,'Detalhes Links Lojas'!A80:D298,4)</f>
        <v>Claro</v>
      </c>
      <c r="C80" s="8" t="str">
        <f>VLOOKUP(A80,'Detalhes Links Lojas'!A80:L298,12)</f>
        <v>Vero</v>
      </c>
      <c r="D80">
        <v>1</v>
      </c>
    </row>
    <row r="81" spans="1:4">
      <c r="A81" s="4">
        <v>625</v>
      </c>
      <c r="B81" s="8" t="str">
        <f>VLOOKUP(A81,'Detalhes Links Lojas'!A81:D299,4)</f>
        <v>Claro</v>
      </c>
      <c r="C81" s="8" t="str">
        <f>VLOOKUP(A81,'Detalhes Links Lojas'!A81:L299,12)</f>
        <v>Vero</v>
      </c>
      <c r="D81">
        <v>1</v>
      </c>
    </row>
    <row r="82" spans="1:4">
      <c r="A82" s="4">
        <v>626</v>
      </c>
      <c r="B82" s="8" t="str">
        <f>VLOOKUP(A82,'Detalhes Links Lojas'!A82:D300,4)</f>
        <v>Claro</v>
      </c>
      <c r="C82" s="8" t="str">
        <f>VLOOKUP(A82,'Detalhes Links Lojas'!A82:L300,12)</f>
        <v>Vero</v>
      </c>
      <c r="D82">
        <v>1</v>
      </c>
    </row>
    <row r="83" spans="1:4">
      <c r="A83" s="4">
        <v>627</v>
      </c>
      <c r="B83" s="8" t="str">
        <f>VLOOKUP(A83,'Detalhes Links Lojas'!A83:D301,4)</f>
        <v>Claro</v>
      </c>
      <c r="C83" s="8" t="str">
        <f>VLOOKUP(A83,'Detalhes Links Lojas'!A83:L301,12)</f>
        <v>Vivo</v>
      </c>
      <c r="D83">
        <v>1</v>
      </c>
    </row>
    <row r="84" spans="1:4">
      <c r="A84" s="4">
        <v>629</v>
      </c>
      <c r="B84" s="8" t="str">
        <f>VLOOKUP(A84,'Detalhes Links Lojas'!A84:D302,4)</f>
        <v>Claro</v>
      </c>
      <c r="C84" s="8" t="str">
        <f>VLOOKUP(A84,'Detalhes Links Lojas'!A84:L302,12)</f>
        <v>Fibrion</v>
      </c>
      <c r="D84">
        <v>1</v>
      </c>
    </row>
    <row r="85" spans="1:4">
      <c r="A85" s="4">
        <v>631</v>
      </c>
      <c r="B85" s="8" t="str">
        <f>VLOOKUP(A85,'Detalhes Links Lojas'!A85:D303,4)</f>
        <v>Claro</v>
      </c>
      <c r="C85" s="8" t="str">
        <f>VLOOKUP(A85,'Detalhes Links Lojas'!A85:L303,12)</f>
        <v>Vero</v>
      </c>
      <c r="D85">
        <v>1</v>
      </c>
    </row>
    <row r="86" spans="1:4">
      <c r="A86" s="4">
        <v>632</v>
      </c>
      <c r="B86" s="8" t="str">
        <f>VLOOKUP(A86,'Detalhes Links Lojas'!A86:D304,4)</f>
        <v>Claro</v>
      </c>
      <c r="C86" s="8" t="str">
        <f>VLOOKUP(A86,'Detalhes Links Lojas'!A86:L304,12)</f>
        <v>Vivo</v>
      </c>
      <c r="D86">
        <v>1</v>
      </c>
    </row>
    <row r="87" spans="1:4">
      <c r="A87" s="4">
        <v>633</v>
      </c>
      <c r="B87" s="8" t="str">
        <f>VLOOKUP(A87,'Detalhes Links Lojas'!A87:D305,4)</f>
        <v>Claro</v>
      </c>
      <c r="C87" s="8" t="str">
        <f>VLOOKUP(A87,'Detalhes Links Lojas'!A87:L305,12)</f>
        <v>Oi</v>
      </c>
      <c r="D87">
        <v>1</v>
      </c>
    </row>
    <row r="88" spans="1:4">
      <c r="A88" s="4">
        <v>635</v>
      </c>
      <c r="B88" s="8" t="str">
        <f>VLOOKUP(A88,'Detalhes Links Lojas'!A88:D306,4)</f>
        <v>Algar</v>
      </c>
      <c r="C88" s="8" t="str">
        <f>VLOOKUP(A88,'Detalhes Links Lojas'!A88:L306,12)</f>
        <v>Claro</v>
      </c>
      <c r="D88">
        <v>1</v>
      </c>
    </row>
    <row r="89" spans="1:4">
      <c r="A89" s="4">
        <v>636</v>
      </c>
      <c r="B89" s="8" t="str">
        <f>VLOOKUP(A89,'Detalhes Links Lojas'!A89:D307,4)</f>
        <v>Claro</v>
      </c>
      <c r="C89" s="8" t="str">
        <f>VLOOKUP(A89,'Detalhes Links Lojas'!A89:L307,12)</f>
        <v>Fibrion</v>
      </c>
      <c r="D89">
        <v>1</v>
      </c>
    </row>
    <row r="90" spans="1:4">
      <c r="A90" s="4">
        <v>639</v>
      </c>
      <c r="B90" s="8" t="str">
        <f>VLOOKUP(A90,'Detalhes Links Lojas'!A90:D308,4)</f>
        <v>Claro</v>
      </c>
      <c r="C90" s="8" t="str">
        <f>VLOOKUP(A90,'Detalhes Links Lojas'!A90:L308,12)</f>
        <v>Vivo</v>
      </c>
      <c r="D90">
        <v>1</v>
      </c>
    </row>
    <row r="91" spans="1:4">
      <c r="A91" s="4">
        <v>640</v>
      </c>
      <c r="B91" s="8" t="str">
        <f>VLOOKUP(A91,'Detalhes Links Lojas'!A91:D309,4)</f>
        <v>Mundivox</v>
      </c>
      <c r="C91" s="8" t="str">
        <f>VLOOKUP(A91,'Detalhes Links Lojas'!A91:L309,12)</f>
        <v>Vero</v>
      </c>
      <c r="D91">
        <v>1</v>
      </c>
    </row>
    <row r="92" spans="1:4">
      <c r="A92" s="4">
        <v>641</v>
      </c>
      <c r="B92" s="8" t="str">
        <f>VLOOKUP(A92,'Detalhes Links Lojas'!A92:D310,4)</f>
        <v>Claro</v>
      </c>
      <c r="C92" s="8" t="str">
        <f>VLOOKUP(A92,'Detalhes Links Lojas'!A92:L310,12)</f>
        <v>Vero</v>
      </c>
      <c r="D92">
        <v>1</v>
      </c>
    </row>
    <row r="93" spans="1:4">
      <c r="A93" s="4">
        <v>642</v>
      </c>
      <c r="B93" s="8" t="str">
        <f>VLOOKUP(A93,'Detalhes Links Lojas'!A93:D311,4)</f>
        <v>Claro</v>
      </c>
      <c r="C93" s="8" t="str">
        <f>VLOOKUP(A93,'Detalhes Links Lojas'!A93:L311,12)</f>
        <v>Vivo</v>
      </c>
      <c r="D93">
        <v>1</v>
      </c>
    </row>
    <row r="94" spans="1:4">
      <c r="A94" s="4">
        <v>643</v>
      </c>
      <c r="B94" s="8" t="str">
        <f>VLOOKUP(A94,'Detalhes Links Lojas'!A94:D312,4)</f>
        <v>Algar</v>
      </c>
      <c r="C94" s="8" t="str">
        <f>VLOOKUP(A94,'Detalhes Links Lojas'!A94:L312,12)</f>
        <v>Claro</v>
      </c>
      <c r="D94">
        <v>1</v>
      </c>
    </row>
    <row r="95" spans="1:4">
      <c r="A95" s="4">
        <v>645</v>
      </c>
      <c r="B95" s="8" t="str">
        <f>VLOOKUP(A95,'Detalhes Links Lojas'!A95:D313,4)</f>
        <v>Claro</v>
      </c>
      <c r="C95" s="8" t="str">
        <f>VLOOKUP(A95,'Detalhes Links Lojas'!A95:L313,12)</f>
        <v>Vero</v>
      </c>
      <c r="D95">
        <v>1</v>
      </c>
    </row>
    <row r="96" spans="1:4">
      <c r="A96" s="4">
        <v>646</v>
      </c>
      <c r="B96" s="8" t="str">
        <f>VLOOKUP(A96,'Detalhes Links Lojas'!A96:D314,4)</f>
        <v>Claro</v>
      </c>
      <c r="C96" s="8" t="str">
        <f>VLOOKUP(A96,'Detalhes Links Lojas'!A96:L314,12)</f>
        <v>ITS Brasil</v>
      </c>
      <c r="D96">
        <v>1</v>
      </c>
    </row>
    <row r="97" spans="1:4">
      <c r="A97" s="4">
        <v>647</v>
      </c>
      <c r="B97" s="8" t="str">
        <f>VLOOKUP(A97,'Detalhes Links Lojas'!A97:D315,4)</f>
        <v>Claro</v>
      </c>
      <c r="C97" s="8" t="str">
        <f>VLOOKUP(A97,'Detalhes Links Lojas'!A97:L315,12)</f>
        <v>Vivo</v>
      </c>
      <c r="D97">
        <v>1</v>
      </c>
    </row>
    <row r="98" spans="1:4">
      <c r="A98" s="4">
        <v>648</v>
      </c>
      <c r="B98" s="8" t="str">
        <f>VLOOKUP(A98,'Detalhes Links Lojas'!A98:D316,4)</f>
        <v>Embratel</v>
      </c>
      <c r="C98" s="8" t="str">
        <f>VLOOKUP(A98,'Detalhes Links Lojas'!A98:L316,12)</f>
        <v>Vero</v>
      </c>
      <c r="D98">
        <v>1</v>
      </c>
    </row>
    <row r="99" spans="1:4">
      <c r="A99" s="4">
        <v>649</v>
      </c>
      <c r="B99" s="8" t="str">
        <f>VLOOKUP(A99,'Detalhes Links Lojas'!A99:D317,4)</f>
        <v>Claro</v>
      </c>
      <c r="C99" s="8" t="str">
        <f>VLOOKUP(A99,'Detalhes Links Lojas'!A99:L317,12)</f>
        <v>Fibrion</v>
      </c>
      <c r="D99">
        <v>1</v>
      </c>
    </row>
    <row r="100" spans="1:4">
      <c r="A100" s="4">
        <v>650</v>
      </c>
      <c r="B100" s="8" t="str">
        <f>VLOOKUP(A100,'Detalhes Links Lojas'!A100:D318,4)</f>
        <v>Claro</v>
      </c>
      <c r="C100" s="8" t="str">
        <f>VLOOKUP(A100,'Detalhes Links Lojas'!A100:L318,12)</f>
        <v>Vtal</v>
      </c>
      <c r="D100">
        <v>1</v>
      </c>
    </row>
    <row r="101" spans="1:4">
      <c r="A101" s="4">
        <v>651</v>
      </c>
      <c r="B101" s="8" t="str">
        <f>VLOOKUP(A101,'Detalhes Links Lojas'!A101:D319,4)</f>
        <v>Claro</v>
      </c>
      <c r="C101" s="8" t="str">
        <f>VLOOKUP(A101,'Detalhes Links Lojas'!A101:L319,12)</f>
        <v>SP18</v>
      </c>
      <c r="D101">
        <v>1</v>
      </c>
    </row>
    <row r="102" spans="1:4">
      <c r="A102" s="4">
        <v>652</v>
      </c>
      <c r="B102" s="8" t="str">
        <f>VLOOKUP(A102,'Detalhes Links Lojas'!A102:D320,4)</f>
        <v>Claro</v>
      </c>
      <c r="C102" s="8" t="str">
        <f>VLOOKUP(A102,'Detalhes Links Lojas'!A102:L320,12)</f>
        <v>Vivo</v>
      </c>
      <c r="D102">
        <v>1</v>
      </c>
    </row>
    <row r="103" spans="1:4">
      <c r="A103" s="4">
        <v>653</v>
      </c>
      <c r="B103" s="8" t="str">
        <f>VLOOKUP(A103,'Detalhes Links Lojas'!A103:D321,4)</f>
        <v>Claro</v>
      </c>
      <c r="C103" s="8" t="str">
        <f>VLOOKUP(A103,'Detalhes Links Lojas'!A103:L321,12)</f>
        <v>Vtal</v>
      </c>
      <c r="D103">
        <v>1</v>
      </c>
    </row>
    <row r="104" spans="1:4">
      <c r="A104" s="4">
        <v>654</v>
      </c>
      <c r="B104" s="8" t="e">
        <f>VLOOKUP(A104,'Detalhes Links Lojas'!A104:D322,4)</f>
        <v>#N/A</v>
      </c>
      <c r="C104" s="8" t="e">
        <f>VLOOKUP(A104,'Detalhes Links Lojas'!A104:L322,12)</f>
        <v>#N/A</v>
      </c>
      <c r="D104">
        <v>1</v>
      </c>
    </row>
    <row r="105" spans="1:4">
      <c r="A105" s="4">
        <v>656</v>
      </c>
      <c r="B105" s="8" t="str">
        <f>VLOOKUP(A105,'Detalhes Links Lojas'!A104:D323,4)</f>
        <v>Claro</v>
      </c>
      <c r="C105" s="8" t="str">
        <f>VLOOKUP(A105,'Detalhes Links Lojas'!A104:L323,12)</f>
        <v>Vero</v>
      </c>
      <c r="D105">
        <v>1</v>
      </c>
    </row>
    <row r="106" spans="1:4">
      <c r="A106" s="4">
        <v>659</v>
      </c>
      <c r="B106" s="8" t="str">
        <f>VLOOKUP(A106,'Detalhes Links Lojas'!A105:D325,4)</f>
        <v>Claro</v>
      </c>
      <c r="C106" s="8" t="str">
        <f>VLOOKUP(A106,'Detalhes Links Lojas'!A105:L325,12)</f>
        <v>Vivo</v>
      </c>
      <c r="D106">
        <v>1</v>
      </c>
    </row>
    <row r="107" spans="1:4">
      <c r="A107" s="4">
        <v>660</v>
      </c>
      <c r="B107" s="8" t="str">
        <f>VLOOKUP(A107,'Detalhes Links Lojas'!A106:D326,4)</f>
        <v>Claro</v>
      </c>
      <c r="C107" s="8" t="str">
        <f>VLOOKUP(A107,'Detalhes Links Lojas'!A106:L326,12)</f>
        <v>Vtal</v>
      </c>
      <c r="D107">
        <v>1</v>
      </c>
    </row>
    <row r="108" spans="1:4">
      <c r="A108" s="4">
        <v>661</v>
      </c>
      <c r="B108" s="8" t="str">
        <f>VLOOKUP(A108,'Detalhes Links Lojas'!A107:D327,4)</f>
        <v>Claro</v>
      </c>
      <c r="C108" s="8" t="str">
        <f>VLOOKUP(A108,'Detalhes Links Lojas'!A107:L327,12)</f>
        <v>Vivo</v>
      </c>
      <c r="D108">
        <v>1</v>
      </c>
    </row>
    <row r="109" spans="1:4">
      <c r="A109" s="4">
        <v>662</v>
      </c>
      <c r="B109" s="8" t="str">
        <f>VLOOKUP(A109,'Detalhes Links Lojas'!A108:D328,4)</f>
        <v>Mundivox</v>
      </c>
      <c r="C109" s="8" t="str">
        <f>VLOOKUP(A109,'Detalhes Links Lojas'!A108:L328,12)</f>
        <v>Vero</v>
      </c>
      <c r="D109">
        <v>1</v>
      </c>
    </row>
    <row r="110" spans="1:4">
      <c r="A110" s="4">
        <v>663</v>
      </c>
      <c r="B110" s="8" t="str">
        <f>VLOOKUP(A110,'Detalhes Links Lojas'!A109:D329,4)</f>
        <v>Claro</v>
      </c>
      <c r="C110" s="8" t="str">
        <f>VLOOKUP(A110,'Detalhes Links Lojas'!A109:L329,12)</f>
        <v>Vivo</v>
      </c>
      <c r="D110">
        <v>1</v>
      </c>
    </row>
    <row r="111" spans="1:4">
      <c r="A111" s="4">
        <v>664</v>
      </c>
      <c r="B111" s="8" t="str">
        <f>VLOOKUP(A111,'Detalhes Links Lojas'!A110:D330,4)</f>
        <v>Claro</v>
      </c>
      <c r="C111" s="8" t="str">
        <f>VLOOKUP(A111,'Detalhes Links Lojas'!A110:L330,12)</f>
        <v>Vivo</v>
      </c>
      <c r="D111">
        <v>1</v>
      </c>
    </row>
    <row r="112" spans="1:4">
      <c r="A112" s="4">
        <v>665</v>
      </c>
      <c r="B112" s="8" t="str">
        <f>VLOOKUP(A112,'Detalhes Links Lojas'!A111:D331,4)</f>
        <v>Claro</v>
      </c>
      <c r="C112" s="8" t="str">
        <f>VLOOKUP(A112,'Detalhes Links Lojas'!A111:L331,12)</f>
        <v>Vero</v>
      </c>
      <c r="D112">
        <v>1</v>
      </c>
    </row>
    <row r="113" spans="1:4">
      <c r="A113" s="4">
        <v>667</v>
      </c>
      <c r="B113" s="8" t="str">
        <f>VLOOKUP(A113,'Detalhes Links Lojas'!A112:D332,4)</f>
        <v>Algar</v>
      </c>
      <c r="C113" s="8" t="str">
        <f>VLOOKUP(A113,'Detalhes Links Lojas'!A112:L332,12)</f>
        <v>Vivo</v>
      </c>
      <c r="D113">
        <v>1</v>
      </c>
    </row>
    <row r="114" spans="1:4">
      <c r="A114" s="4">
        <v>671</v>
      </c>
      <c r="B114" s="8" t="str">
        <f>VLOOKUP(A114,'Detalhes Links Lojas'!A113:D333,4)</f>
        <v>Vivo</v>
      </c>
      <c r="C114" s="8" t="str">
        <f>VLOOKUP(A114,'Detalhes Links Lojas'!A113:L333,12)</f>
        <v>Claro</v>
      </c>
      <c r="D114">
        <v>1</v>
      </c>
    </row>
    <row r="115" spans="1:4">
      <c r="A115" s="4">
        <v>672</v>
      </c>
      <c r="B115" s="8" t="str">
        <f>VLOOKUP(A115,'Detalhes Links Lojas'!A114:D334,4)</f>
        <v>Claro</v>
      </c>
      <c r="C115" s="8" t="str">
        <f>VLOOKUP(A115,'Detalhes Links Lojas'!A114:L334,12)</f>
        <v>Vero</v>
      </c>
      <c r="D115">
        <v>1</v>
      </c>
    </row>
    <row r="116" spans="1:4">
      <c r="A116" s="4">
        <v>674</v>
      </c>
      <c r="B116" s="8" t="str">
        <f>VLOOKUP(A116,'Detalhes Links Lojas'!A115:D335,4)</f>
        <v>Claro</v>
      </c>
      <c r="C116" s="8" t="str">
        <f>VLOOKUP(A116,'Detalhes Links Lojas'!A115:L335,12)</f>
        <v>Vero</v>
      </c>
      <c r="D116">
        <v>1</v>
      </c>
    </row>
    <row r="117" spans="1:4">
      <c r="A117" s="4">
        <v>676</v>
      </c>
      <c r="B117" s="8" t="str">
        <f>VLOOKUP(A117,'Detalhes Links Lojas'!A116:D337,4)</f>
        <v>Claro</v>
      </c>
      <c r="C117" s="8" t="str">
        <f>VLOOKUP(A117,'Detalhes Links Lojas'!A116:L337,12)</f>
        <v>Vivo</v>
      </c>
      <c r="D117">
        <v>1</v>
      </c>
    </row>
    <row r="118" spans="1:4">
      <c r="A118" s="4">
        <v>677</v>
      </c>
      <c r="B118" s="8" t="str">
        <f>VLOOKUP(A118,'Detalhes Links Lojas'!A117:D338,4)</f>
        <v>Claro</v>
      </c>
      <c r="C118" s="8" t="str">
        <f>VLOOKUP(A118,'Detalhes Links Lojas'!A117:L338,12)</f>
        <v>Vtal</v>
      </c>
      <c r="D118">
        <v>1</v>
      </c>
    </row>
    <row r="119" spans="1:4">
      <c r="A119" s="4">
        <v>678</v>
      </c>
      <c r="B119" s="8" t="str">
        <f>VLOOKUP(A119,'Detalhes Links Lojas'!A118:D339,4)</f>
        <v>Claro</v>
      </c>
      <c r="C119" s="8" t="str">
        <f>VLOOKUP(A119,'Detalhes Links Lojas'!A118:L339,12)</f>
        <v>Vero</v>
      </c>
      <c r="D119">
        <v>1</v>
      </c>
    </row>
    <row r="120" spans="1:4">
      <c r="A120" s="4">
        <v>679</v>
      </c>
      <c r="B120" s="8" t="str">
        <f>VLOOKUP(A120,'Detalhes Links Lojas'!A119:D340,4)</f>
        <v>Fibrion</v>
      </c>
      <c r="C120" s="8" t="str">
        <f>VLOOKUP(A120,'Detalhes Links Lojas'!A119:L340,12)</f>
        <v>Vivo</v>
      </c>
      <c r="D120">
        <v>1</v>
      </c>
    </row>
    <row r="121" spans="1:4">
      <c r="A121" s="4">
        <v>680</v>
      </c>
      <c r="B121" s="8" t="str">
        <f>VLOOKUP(A121,'Detalhes Links Lojas'!A120:D341,4)</f>
        <v>Claro</v>
      </c>
      <c r="C121" s="8" t="str">
        <f>VLOOKUP(A121,'Detalhes Links Lojas'!A120:L341,12)</f>
        <v>Vtal</v>
      </c>
      <c r="D121">
        <v>1</v>
      </c>
    </row>
    <row r="122" spans="1:4">
      <c r="A122" s="4">
        <v>681</v>
      </c>
      <c r="B122" s="8" t="str">
        <f>VLOOKUP(A122,'Detalhes Links Lojas'!A121:D342,4)</f>
        <v>Claro</v>
      </c>
      <c r="C122" s="8" t="str">
        <f>VLOOKUP(A122,'Detalhes Links Lojas'!A121:L342,12)</f>
        <v>Vivo</v>
      </c>
      <c r="D122">
        <v>1</v>
      </c>
    </row>
    <row r="123" spans="1:4">
      <c r="A123" s="4">
        <v>682</v>
      </c>
      <c r="B123" s="8" t="str">
        <f>VLOOKUP(A123,'Detalhes Links Lojas'!A122:D343,4)</f>
        <v>Claro</v>
      </c>
      <c r="C123" s="8" t="str">
        <f>VLOOKUP(A123,'Detalhes Links Lojas'!A122:L343,12)</f>
        <v>Vivo</v>
      </c>
      <c r="D123">
        <v>1</v>
      </c>
    </row>
    <row r="124" spans="1:4">
      <c r="A124" s="4">
        <v>684</v>
      </c>
      <c r="B124" s="8" t="str">
        <f>VLOOKUP(A124,'Detalhes Links Lojas'!A123:D344,4)</f>
        <v>Claro</v>
      </c>
      <c r="C124" s="8" t="str">
        <f>VLOOKUP(A124,'Detalhes Links Lojas'!A123:L344,12)</f>
        <v>Vivo</v>
      </c>
      <c r="D124">
        <v>1</v>
      </c>
    </row>
    <row r="125" spans="1:4">
      <c r="A125" s="4">
        <v>685</v>
      </c>
      <c r="B125" s="8" t="str">
        <f>VLOOKUP(A125,'Detalhes Links Lojas'!A124:D345,4)</f>
        <v>Claro</v>
      </c>
      <c r="C125" s="8" t="str">
        <f>VLOOKUP(A125,'Detalhes Links Lojas'!A124:L345,12)</f>
        <v>Vivo</v>
      </c>
      <c r="D125">
        <v>1</v>
      </c>
    </row>
    <row r="126" spans="1:4">
      <c r="A126" s="4">
        <v>686</v>
      </c>
      <c r="B126" s="8" t="str">
        <f>VLOOKUP(A126,'Detalhes Links Lojas'!A125:D346,4)</f>
        <v>Mundivox</v>
      </c>
      <c r="C126" s="8" t="str">
        <f>VLOOKUP(A126,'Detalhes Links Lojas'!A125:L346,12)</f>
        <v>Vero</v>
      </c>
      <c r="D126">
        <v>1</v>
      </c>
    </row>
    <row r="127" spans="1:4">
      <c r="A127" s="4">
        <v>687</v>
      </c>
      <c r="B127" s="8" t="str">
        <f>VLOOKUP(A127,'Detalhes Links Lojas'!A126:D347,4)</f>
        <v>Algar</v>
      </c>
      <c r="C127" s="8" t="str">
        <f>VLOOKUP(A127,'Detalhes Links Lojas'!A126:L347,12)</f>
        <v>Claro</v>
      </c>
      <c r="D127">
        <v>1</v>
      </c>
    </row>
    <row r="128" spans="1:4">
      <c r="A128" s="4">
        <v>688</v>
      </c>
      <c r="B128" s="8" t="str">
        <f>VLOOKUP(A128,'Detalhes Links Lojas'!A127:D348,4)</f>
        <v>Claro</v>
      </c>
      <c r="C128" s="8" t="str">
        <f>VLOOKUP(A128,'Detalhes Links Lojas'!A127:L348,12)</f>
        <v>Vero</v>
      </c>
      <c r="D128">
        <v>1</v>
      </c>
    </row>
    <row r="129" spans="1:4">
      <c r="A129" s="4">
        <v>689</v>
      </c>
      <c r="B129" s="8" t="str">
        <f>VLOOKUP(A129,'Detalhes Links Lojas'!A128:D349,4)</f>
        <v>Vivo</v>
      </c>
      <c r="C129" s="8" t="str">
        <f>VLOOKUP(A129,'Detalhes Links Lojas'!A128:L349,12)</f>
        <v>Claro</v>
      </c>
      <c r="D129">
        <v>1</v>
      </c>
    </row>
    <row r="130" spans="1:4">
      <c r="A130" s="4">
        <v>696</v>
      </c>
      <c r="B130" s="8" t="str">
        <f>VLOOKUP(A130,'Detalhes Links Lojas'!A129:D350,4)</f>
        <v>Claro</v>
      </c>
      <c r="C130" s="8" t="str">
        <f>VLOOKUP(A130,'Detalhes Links Lojas'!A129:L350,12)</f>
        <v>Vero</v>
      </c>
      <c r="D130">
        <v>1</v>
      </c>
    </row>
    <row r="131" spans="1:4">
      <c r="A131" s="4">
        <v>698</v>
      </c>
      <c r="B131" s="8" t="str">
        <f>VLOOKUP(A131,'Detalhes Links Lojas'!A130:D351,4)</f>
        <v>Claro</v>
      </c>
      <c r="C131" s="8" t="str">
        <f>VLOOKUP(A131,'Detalhes Links Lojas'!A130:L351,12)</f>
        <v>Vivo</v>
      </c>
      <c r="D131">
        <v>1</v>
      </c>
    </row>
    <row r="132" spans="1:4">
      <c r="A132" s="4">
        <v>699</v>
      </c>
      <c r="B132" s="8" t="str">
        <f>VLOOKUP(A132,'Detalhes Links Lojas'!A131:D352,4)</f>
        <v>Claro</v>
      </c>
      <c r="C132" s="8" t="str">
        <f>VLOOKUP(A132,'Detalhes Links Lojas'!A131:L352,12)</f>
        <v>Vivo</v>
      </c>
      <c r="D132">
        <v>1</v>
      </c>
    </row>
    <row r="133" spans="1:4">
      <c r="A133" s="4">
        <v>700</v>
      </c>
      <c r="B133" s="8" t="str">
        <f>VLOOKUP(A133,'Detalhes Links Lojas'!A132:D353,4)</f>
        <v>Embratel</v>
      </c>
      <c r="C133" s="8" t="str">
        <f>VLOOKUP(A133,'Detalhes Links Lojas'!A132:L353,12)</f>
        <v>Vivo</v>
      </c>
      <c r="D133">
        <v>1</v>
      </c>
    </row>
    <row r="134" spans="1:4">
      <c r="A134" s="4">
        <v>709</v>
      </c>
      <c r="B134" s="8" t="str">
        <f>VLOOKUP(A134,'Detalhes Links Lojas'!A133:D354,4)</f>
        <v>Vtal</v>
      </c>
      <c r="C134" s="8" t="str">
        <f>VLOOKUP(A134,'Detalhes Links Lojas'!A133:L354,12)</f>
        <v>Claro</v>
      </c>
      <c r="D134">
        <v>1</v>
      </c>
    </row>
    <row r="135" spans="1:4">
      <c r="A135" s="4">
        <v>711</v>
      </c>
      <c r="B135" s="8" t="str">
        <f>VLOOKUP(A135,'Detalhes Links Lojas'!A134:D355,4)</f>
        <v>Claro</v>
      </c>
      <c r="C135" s="8" t="str">
        <f>VLOOKUP(A135,'Detalhes Links Lojas'!A134:L355,12)</f>
        <v>Vero</v>
      </c>
      <c r="D135">
        <v>1</v>
      </c>
    </row>
    <row r="136" spans="1:4">
      <c r="A136" s="4">
        <v>712</v>
      </c>
      <c r="B136" s="8" t="str">
        <f>VLOOKUP(A136,'Detalhes Links Lojas'!A135:D356,4)</f>
        <v>Claro</v>
      </c>
      <c r="C136" s="8" t="str">
        <f>VLOOKUP(A136,'Detalhes Links Lojas'!A135:L356,12)</f>
        <v>Vero</v>
      </c>
      <c r="D136">
        <v>1</v>
      </c>
    </row>
    <row r="137" spans="1:4">
      <c r="A137" s="4">
        <v>715</v>
      </c>
      <c r="B137" s="8" t="str">
        <f>VLOOKUP(A137,'Detalhes Links Lojas'!A136:D357,4)</f>
        <v>Algar</v>
      </c>
      <c r="C137" s="8" t="str">
        <f>VLOOKUP(A137,'Detalhes Links Lojas'!A136:L357,12)</f>
        <v>Claro</v>
      </c>
      <c r="D137">
        <v>1</v>
      </c>
    </row>
    <row r="138" spans="1:4">
      <c r="A138" s="4">
        <v>717</v>
      </c>
      <c r="B138" s="8" t="str">
        <f>VLOOKUP(A138,'Detalhes Links Lojas'!A137:D358,4)</f>
        <v>Claro</v>
      </c>
      <c r="C138" s="8" t="str">
        <f>VLOOKUP(A138,'Detalhes Links Lojas'!A137:L358,12)</f>
        <v>Vero</v>
      </c>
      <c r="D138">
        <v>1</v>
      </c>
    </row>
    <row r="139" spans="1:4">
      <c r="A139" s="4">
        <v>719</v>
      </c>
      <c r="B139" s="8" t="str">
        <f>VLOOKUP(A139,'Detalhes Links Lojas'!A138:D359,4)</f>
        <v>Claro</v>
      </c>
      <c r="C139" s="8" t="str">
        <f>VLOOKUP(A139,'Detalhes Links Lojas'!A138:L359,12)</f>
        <v>Vivo</v>
      </c>
      <c r="D139">
        <v>1</v>
      </c>
    </row>
    <row r="140" spans="1:4">
      <c r="A140" s="4">
        <v>723</v>
      </c>
      <c r="B140" s="8" t="str">
        <f>VLOOKUP(A140,'Detalhes Links Lojas'!A139:D361,4)</f>
        <v>Claro</v>
      </c>
      <c r="C140" s="8" t="str">
        <f>VLOOKUP(A140,'Detalhes Links Lojas'!A139:L361,12)</f>
        <v>Fibrion</v>
      </c>
      <c r="D140">
        <v>1</v>
      </c>
    </row>
    <row r="141" spans="1:4">
      <c r="A141" s="4">
        <v>725</v>
      </c>
      <c r="B141" s="8" t="str">
        <f>VLOOKUP(A141,'Detalhes Links Lojas'!A140:D362,4)</f>
        <v>Algar</v>
      </c>
      <c r="C141" s="8" t="str">
        <f>VLOOKUP(A141,'Detalhes Links Lojas'!A140:L362,12)</f>
        <v>Claro</v>
      </c>
      <c r="D141">
        <v>1</v>
      </c>
    </row>
    <row r="142" spans="1:4">
      <c r="A142" s="4">
        <v>726</v>
      </c>
      <c r="B142" s="8" t="str">
        <f>VLOOKUP(A142,'Detalhes Links Lojas'!A141:D363,4)</f>
        <v>Claro</v>
      </c>
      <c r="C142" s="8" t="str">
        <f>VLOOKUP(A142,'Detalhes Links Lojas'!A141:L363,12)</f>
        <v>Vero</v>
      </c>
      <c r="D142">
        <v>1</v>
      </c>
    </row>
    <row r="143" spans="1:4">
      <c r="A143" s="4">
        <v>727</v>
      </c>
      <c r="B143" s="8" t="str">
        <f>VLOOKUP(A143,'Detalhes Links Lojas'!A142:D364,4)</f>
        <v>Claro</v>
      </c>
      <c r="C143" s="8" t="str">
        <f>VLOOKUP(A143,'Detalhes Links Lojas'!A142:L364,12)</f>
        <v>Vtal</v>
      </c>
      <c r="D143">
        <v>1</v>
      </c>
    </row>
    <row r="144" spans="1:4">
      <c r="A144" s="4">
        <v>729</v>
      </c>
      <c r="B144" s="8" t="str">
        <f>VLOOKUP(A144,'Detalhes Links Lojas'!A143:D365,4)</f>
        <v>Claro</v>
      </c>
      <c r="C144" s="8" t="str">
        <f>VLOOKUP(A144,'Detalhes Links Lojas'!A143:L365,12)</f>
        <v>Fibrion</v>
      </c>
      <c r="D144">
        <v>1</v>
      </c>
    </row>
    <row r="145" spans="1:4">
      <c r="A145" s="4">
        <v>730</v>
      </c>
      <c r="B145" s="8" t="str">
        <f>VLOOKUP(A145,'Detalhes Links Lojas'!A144:D366,4)</f>
        <v>Claro</v>
      </c>
      <c r="C145" s="8" t="str">
        <f>VLOOKUP(A145,'Detalhes Links Lojas'!A144:L366,12)</f>
        <v>Fibrion</v>
      </c>
      <c r="D145">
        <v>1</v>
      </c>
    </row>
    <row r="146" spans="1:4">
      <c r="A146" s="4">
        <v>731</v>
      </c>
      <c r="B146" s="8" t="str">
        <f>VLOOKUP(A146,'Detalhes Links Lojas'!A145:D367,4)</f>
        <v>Claro</v>
      </c>
      <c r="C146" s="8" t="str">
        <f>VLOOKUP(A146,'Detalhes Links Lojas'!A145:L367,12)</f>
        <v>Vero</v>
      </c>
      <c r="D146">
        <v>1</v>
      </c>
    </row>
    <row r="147" spans="1:4">
      <c r="A147" s="4">
        <v>732</v>
      </c>
      <c r="B147" s="8" t="str">
        <f>VLOOKUP(A147,'Detalhes Links Lojas'!A146:D368,4)</f>
        <v>Vtal</v>
      </c>
      <c r="C147" s="8" t="str">
        <f>VLOOKUP(A147,'Detalhes Links Lojas'!A146:L368,12)</f>
        <v>Claro</v>
      </c>
      <c r="D147">
        <v>1</v>
      </c>
    </row>
    <row r="148" spans="1:4">
      <c r="A148" s="4">
        <v>733</v>
      </c>
      <c r="B148" s="8" t="str">
        <f>VLOOKUP(A148,'Detalhes Links Lojas'!A147:D369,4)</f>
        <v>Claro</v>
      </c>
      <c r="C148" s="8" t="str">
        <f>VLOOKUP(A148,'Detalhes Links Lojas'!A147:L369,12)</f>
        <v>Vivo</v>
      </c>
      <c r="D148">
        <v>1</v>
      </c>
    </row>
    <row r="149" spans="1:4">
      <c r="A149" s="4">
        <v>737</v>
      </c>
      <c r="B149" s="8" t="str">
        <f>VLOOKUP(A149,'Detalhes Links Lojas'!A148:D371,4)</f>
        <v>Claro</v>
      </c>
      <c r="C149" s="8" t="str">
        <f>VLOOKUP(A149,'Detalhes Links Lojas'!A148:L371,12)</f>
        <v>Vero</v>
      </c>
      <c r="D149">
        <v>1</v>
      </c>
    </row>
    <row r="150" spans="1:4">
      <c r="A150" s="4">
        <v>741</v>
      </c>
      <c r="B150" s="8" t="str">
        <f>VLOOKUP(A150,'Detalhes Links Lojas'!A149:D372,4)</f>
        <v>Oi</v>
      </c>
      <c r="C150" s="8" t="str">
        <f>VLOOKUP(A150,'Detalhes Links Lojas'!A149:L372,12)</f>
        <v>Claro</v>
      </c>
      <c r="D150">
        <v>1</v>
      </c>
    </row>
    <row r="151" spans="1:4">
      <c r="A151" s="4">
        <v>742</v>
      </c>
      <c r="B151" s="8" t="str">
        <f>VLOOKUP(A151,'Detalhes Links Lojas'!A150:D373,4)</f>
        <v>Claro</v>
      </c>
      <c r="C151" s="8" t="str">
        <f>VLOOKUP(A151,'Detalhes Links Lojas'!A150:L373,12)</f>
        <v>Vivo</v>
      </c>
      <c r="D151">
        <v>1</v>
      </c>
    </row>
    <row r="152" spans="1:4">
      <c r="A152" s="4">
        <v>745</v>
      </c>
      <c r="B152" s="8" t="str">
        <f>VLOOKUP(A152,'Detalhes Links Lojas'!A151:D375,4)</f>
        <v>Claro</v>
      </c>
      <c r="C152" s="8" t="str">
        <f>VLOOKUP(A152,'Detalhes Links Lojas'!A151:L375,12)</f>
        <v>Vivo</v>
      </c>
      <c r="D152">
        <v>1</v>
      </c>
    </row>
    <row r="153" spans="1:4">
      <c r="A153" s="4">
        <v>747</v>
      </c>
      <c r="B153" s="8" t="str">
        <f>VLOOKUP(A153,'Detalhes Links Lojas'!A152:D376,4)</f>
        <v>Claro</v>
      </c>
      <c r="C153" s="8" t="str">
        <f>VLOOKUP(A153,'Detalhes Links Lojas'!A152:L376,12)</f>
        <v>Vivo</v>
      </c>
      <c r="D153">
        <v>1</v>
      </c>
    </row>
    <row r="154" spans="1:4">
      <c r="A154" s="4">
        <v>751</v>
      </c>
      <c r="B154" s="8" t="str">
        <f>VLOOKUP(A154,'Detalhes Links Lojas'!A153:D377,4)</f>
        <v>Fibrion</v>
      </c>
      <c r="C154" s="8" t="str">
        <f>VLOOKUP(A154,'Detalhes Links Lojas'!A153:L377,12)</f>
        <v>Vivo</v>
      </c>
      <c r="D154">
        <v>1</v>
      </c>
    </row>
    <row r="155" spans="1:4">
      <c r="A155" s="4">
        <v>752</v>
      </c>
      <c r="B155" s="8" t="str">
        <f>VLOOKUP(A155,'Detalhes Links Lojas'!A154:D378,4)</f>
        <v>Claro</v>
      </c>
      <c r="C155" s="8" t="str">
        <f>VLOOKUP(A155,'Detalhes Links Lojas'!A154:L378,12)</f>
        <v>Vtal</v>
      </c>
      <c r="D155">
        <v>1</v>
      </c>
    </row>
    <row r="156" spans="1:4">
      <c r="A156" s="4">
        <v>754</v>
      </c>
      <c r="B156" s="8" t="str">
        <f>VLOOKUP(A156,'Detalhes Links Lojas'!A155:D379,4)</f>
        <v>Claro</v>
      </c>
      <c r="C156" s="8" t="str">
        <f>VLOOKUP(A156,'Detalhes Links Lojas'!A155:L379,12)</f>
        <v>Vivo</v>
      </c>
      <c r="D156">
        <v>1</v>
      </c>
    </row>
    <row r="157" spans="1:4">
      <c r="A157" s="4">
        <v>756</v>
      </c>
      <c r="B157" s="8" t="str">
        <f>VLOOKUP(A157,'Detalhes Links Lojas'!A156:D380,4)</f>
        <v>Fibrion</v>
      </c>
      <c r="C157" s="8" t="str">
        <f>VLOOKUP(A157,'Detalhes Links Lojas'!A156:L380,12)</f>
        <v>Vtal</v>
      </c>
      <c r="D157">
        <v>1</v>
      </c>
    </row>
    <row r="158" spans="1:4">
      <c r="A158" s="4">
        <v>764</v>
      </c>
      <c r="B158" s="8" t="str">
        <f>VLOOKUP(A158,'Detalhes Links Lojas'!A157:D381,4)</f>
        <v>Fibrion</v>
      </c>
      <c r="C158" s="8" t="str">
        <f>VLOOKUP(A158,'Detalhes Links Lojas'!A157:L381,12)</f>
        <v>Claro</v>
      </c>
      <c r="D158">
        <v>1</v>
      </c>
    </row>
    <row r="159" spans="1:4">
      <c r="A159" s="4">
        <v>768</v>
      </c>
      <c r="B159" s="8" t="str">
        <f>VLOOKUP(A159,'Detalhes Links Lojas'!A158:D383,4)</f>
        <v>Fibrion</v>
      </c>
      <c r="C159" s="8" t="str">
        <f>VLOOKUP(A159,'Detalhes Links Lojas'!A158:L383,12)</f>
        <v>Embratel</v>
      </c>
      <c r="D159">
        <v>1</v>
      </c>
    </row>
    <row r="160" spans="1:4">
      <c r="A160" s="4">
        <v>770</v>
      </c>
      <c r="B160" s="8" t="str">
        <f>VLOOKUP(A160,'Detalhes Links Lojas'!A159:D384,4)</f>
        <v>Claro</v>
      </c>
      <c r="C160" s="8" t="str">
        <f>VLOOKUP(A160,'Detalhes Links Lojas'!A159:L384,12)</f>
        <v>Vivo</v>
      </c>
      <c r="D160">
        <v>1</v>
      </c>
    </row>
    <row r="161" spans="1:4">
      <c r="A161" s="4">
        <v>771</v>
      </c>
      <c r="B161" s="8" t="str">
        <f>VLOOKUP(A161,'Detalhes Links Lojas'!A160:D385,4)</f>
        <v>Claro</v>
      </c>
      <c r="C161" s="8" t="str">
        <f>VLOOKUP(A161,'Detalhes Links Lojas'!A160:L385,12)</f>
        <v>Vivo</v>
      </c>
      <c r="D161">
        <v>1</v>
      </c>
    </row>
    <row r="162" spans="1:4">
      <c r="A162" s="4">
        <v>774</v>
      </c>
      <c r="B162" s="8" t="str">
        <f>VLOOKUP(A162,'Detalhes Links Lojas'!A161:D386,4)</f>
        <v>Claro</v>
      </c>
      <c r="C162" s="8" t="str">
        <f>VLOOKUP(A162,'Detalhes Links Lojas'!A161:L386,12)</f>
        <v>Mundivox</v>
      </c>
      <c r="D162">
        <v>1</v>
      </c>
    </row>
    <row r="163" spans="1:4">
      <c r="A163" s="4">
        <v>778</v>
      </c>
      <c r="B163" s="8" t="str">
        <f>VLOOKUP(A163,'Detalhes Links Lojas'!A162:D387,4)</f>
        <v>Claro</v>
      </c>
      <c r="C163" s="8" t="str">
        <f>VLOOKUP(A163,'Detalhes Links Lojas'!A162:L387,12)</f>
        <v>Fibrion</v>
      </c>
      <c r="D163">
        <v>1</v>
      </c>
    </row>
    <row r="164" spans="1:4">
      <c r="A164" s="4">
        <v>780</v>
      </c>
      <c r="B164" s="8" t="str">
        <f>VLOOKUP(A164,'Detalhes Links Lojas'!A163:D388,4)</f>
        <v>Claro</v>
      </c>
      <c r="C164" s="8" t="str">
        <f>VLOOKUP(A164,'Detalhes Links Lojas'!A163:L388,12)</f>
        <v>Vero</v>
      </c>
      <c r="D164">
        <v>1</v>
      </c>
    </row>
    <row r="165" spans="1:4">
      <c r="A165" s="4">
        <v>783</v>
      </c>
      <c r="B165" s="8" t="str">
        <f>VLOOKUP(A165,'Detalhes Links Lojas'!A164:D389,4)</f>
        <v>Claro</v>
      </c>
      <c r="C165" s="8" t="str">
        <f>VLOOKUP(A165,'Detalhes Links Lojas'!A164:L389,12)</f>
        <v>Vivo</v>
      </c>
      <c r="D165">
        <v>1</v>
      </c>
    </row>
    <row r="166" spans="1:4">
      <c r="A166" s="4">
        <v>785</v>
      </c>
      <c r="B166" s="8" t="str">
        <f>VLOOKUP(A166,'Detalhes Links Lojas'!A165:D390,4)</f>
        <v>Claro</v>
      </c>
      <c r="C166" s="8" t="str">
        <f>VLOOKUP(A166,'Detalhes Links Lojas'!A165:L390,12)</f>
        <v>Fibrion</v>
      </c>
      <c r="D166">
        <v>1</v>
      </c>
    </row>
    <row r="167" spans="1:4">
      <c r="A167" s="4">
        <v>788</v>
      </c>
      <c r="B167" s="8" t="str">
        <f>VLOOKUP(A167,'Detalhes Links Lojas'!A166:D391,4)</f>
        <v>Claro</v>
      </c>
      <c r="C167" s="8" t="str">
        <f>VLOOKUP(A167,'Detalhes Links Lojas'!A166:L391,12)</f>
        <v>Vivo</v>
      </c>
      <c r="D167">
        <v>1</v>
      </c>
    </row>
    <row r="168" spans="1:4">
      <c r="A168" s="4">
        <v>794</v>
      </c>
      <c r="B168" s="8" t="str">
        <f>VLOOKUP(A168,'Detalhes Links Lojas'!A167:D392,4)</f>
        <v>Fibrion</v>
      </c>
      <c r="C168" s="8" t="str">
        <f>VLOOKUP(A168,'Detalhes Links Lojas'!A167:L392,12)</f>
        <v>Vivo</v>
      </c>
      <c r="D168">
        <v>1</v>
      </c>
    </row>
    <row r="169" spans="1:4">
      <c r="A169" s="4">
        <v>795</v>
      </c>
      <c r="B169" s="8" t="str">
        <f>VLOOKUP(A169,'Detalhes Links Lojas'!A168:D393,4)</f>
        <v>Claro</v>
      </c>
      <c r="C169" s="8" t="str">
        <f>VLOOKUP(A169,'Detalhes Links Lojas'!A168:L393,12)</f>
        <v>Vtal</v>
      </c>
      <c r="D169">
        <v>1</v>
      </c>
    </row>
    <row r="170" spans="1:4">
      <c r="A170" s="4">
        <v>796</v>
      </c>
      <c r="B170" s="8" t="str">
        <f>VLOOKUP(A170,'Detalhes Links Lojas'!A169:D394,4)</f>
        <v>Claro</v>
      </c>
      <c r="C170" s="8" t="str">
        <f>VLOOKUP(A170,'Detalhes Links Lojas'!A169:L394,12)</f>
        <v>Vivo</v>
      </c>
      <c r="D170">
        <v>1</v>
      </c>
    </row>
    <row r="171" spans="1:4">
      <c r="A171" s="4">
        <v>799</v>
      </c>
      <c r="B171" s="8" t="str">
        <f>VLOOKUP(A171,'Detalhes Links Lojas'!A170:D395,4)</f>
        <v>Claro</v>
      </c>
      <c r="C171" s="8" t="str">
        <f>VLOOKUP(A171,'Detalhes Links Lojas'!A170:L395,12)</f>
        <v>Vero</v>
      </c>
      <c r="D171">
        <v>1</v>
      </c>
    </row>
    <row r="172" spans="1:4">
      <c r="A172" s="4">
        <v>844</v>
      </c>
      <c r="B172" s="8" t="str">
        <f>VLOOKUP(A172,'Detalhes Links Lojas'!A171:D396,4)</f>
        <v>Algar</v>
      </c>
      <c r="C172" s="8" t="str">
        <f>VLOOKUP(A172,'Detalhes Links Lojas'!A171:L396,12)</f>
        <v>Claro</v>
      </c>
      <c r="D172">
        <v>1</v>
      </c>
    </row>
    <row r="173" spans="1:4">
      <c r="A173" s="4">
        <v>845</v>
      </c>
      <c r="B173" s="8" t="str">
        <f>VLOOKUP(A173,'Detalhes Links Lojas'!A172:D397,4)</f>
        <v>Claro</v>
      </c>
      <c r="C173" s="8" t="str">
        <f>VLOOKUP(A173,'Detalhes Links Lojas'!A172:L397,12)</f>
        <v>Vero</v>
      </c>
      <c r="D173">
        <v>1</v>
      </c>
    </row>
    <row r="174" spans="1:4">
      <c r="A174" s="4">
        <v>847</v>
      </c>
      <c r="B174" s="8" t="str">
        <f>VLOOKUP(A174,'Detalhes Links Lojas'!A173:D398,4)</f>
        <v>Claro</v>
      </c>
      <c r="C174" s="8" t="str">
        <f>VLOOKUP(A174,'Detalhes Links Lojas'!A173:L398,12)</f>
        <v>Fibrion</v>
      </c>
      <c r="D174">
        <v>1</v>
      </c>
    </row>
    <row r="175" spans="1:4">
      <c r="A175" s="4">
        <v>848</v>
      </c>
      <c r="B175" s="8" t="str">
        <f>VLOOKUP(A175,'Detalhes Links Lojas'!A174:D399,4)</f>
        <v>Fibrion</v>
      </c>
      <c r="C175" s="8" t="str">
        <f>VLOOKUP(A175,'Detalhes Links Lojas'!A174:L399,12)</f>
        <v>Claro</v>
      </c>
      <c r="D175">
        <v>1</v>
      </c>
    </row>
    <row r="176" spans="1:4">
      <c r="A176" s="4">
        <v>849</v>
      </c>
      <c r="B176" s="8" t="str">
        <f>VLOOKUP(A176,'Detalhes Links Lojas'!A175:D400,4)</f>
        <v>Claro</v>
      </c>
      <c r="C176" s="8" t="str">
        <f>VLOOKUP(A176,'Detalhes Links Lojas'!A175:L400,12)</f>
        <v>Vero</v>
      </c>
      <c r="D176">
        <v>1</v>
      </c>
    </row>
    <row r="177" spans="1:4">
      <c r="A177" s="4">
        <v>852</v>
      </c>
      <c r="B177" s="8" t="str">
        <f>VLOOKUP(A177,'Detalhes Links Lojas'!A177:D402,4)</f>
        <v>Claro</v>
      </c>
      <c r="C177" s="8" t="str">
        <f>VLOOKUP(A177,'Detalhes Links Lojas'!A177:L402,12)</f>
        <v>Vero</v>
      </c>
      <c r="D177">
        <v>1</v>
      </c>
    </row>
    <row r="178" spans="1:4">
      <c r="A178" s="4">
        <v>853</v>
      </c>
      <c r="B178" s="8" t="str">
        <f>VLOOKUP(A178,'Detalhes Links Lojas'!A178:D403,4)</f>
        <v>Claro</v>
      </c>
      <c r="C178" s="8" t="str">
        <f>VLOOKUP(A178,'Detalhes Links Lojas'!A178:L403,12)</f>
        <v>Vero</v>
      </c>
      <c r="D178">
        <v>1</v>
      </c>
    </row>
    <row r="179" spans="1:4">
      <c r="A179" s="4">
        <v>858</v>
      </c>
      <c r="B179" s="8" t="str">
        <f>VLOOKUP(A179,'Detalhes Links Lojas'!A179:D405,4)</f>
        <v>Mundivox</v>
      </c>
      <c r="C179" s="8" t="str">
        <f>VLOOKUP(A179,'Detalhes Links Lojas'!A179:L405,12)</f>
        <v>Vero</v>
      </c>
      <c r="D179">
        <v>1</v>
      </c>
    </row>
    <row r="180" spans="1:4">
      <c r="A180" s="4">
        <v>859</v>
      </c>
      <c r="B180" s="8" t="str">
        <f>VLOOKUP(A180,'Detalhes Links Lojas'!A180:D406,4)</f>
        <v>Claro</v>
      </c>
      <c r="C180" s="8" t="str">
        <f>VLOOKUP(A180,'Detalhes Links Lojas'!A180:L406,12)</f>
        <v>Vero</v>
      </c>
      <c r="D180">
        <v>1</v>
      </c>
    </row>
    <row r="181" spans="1:4">
      <c r="A181" s="4">
        <v>864</v>
      </c>
      <c r="B181" s="8" t="str">
        <f>VLOOKUP(A181,'Detalhes Links Lojas'!A181:D407,4)</f>
        <v>Claro</v>
      </c>
      <c r="C181" s="8" t="str">
        <f>VLOOKUP(A181,'Detalhes Links Lojas'!A181:L407,12)</f>
        <v>Vivo</v>
      </c>
      <c r="D181">
        <v>1</v>
      </c>
    </row>
    <row r="182" spans="1:4">
      <c r="A182" s="4">
        <v>867</v>
      </c>
      <c r="B182" s="8" t="str">
        <f>VLOOKUP(A182,'Detalhes Links Lojas'!A182:D408,4)</f>
        <v>Algar</v>
      </c>
      <c r="C182" s="8" t="str">
        <f>VLOOKUP(A182,'Detalhes Links Lojas'!A182:L408,12)</f>
        <v>Claro</v>
      </c>
      <c r="D182">
        <v>1</v>
      </c>
    </row>
    <row r="183" spans="1:4">
      <c r="A183" s="4">
        <v>868</v>
      </c>
      <c r="B183" s="8" t="str">
        <f>VLOOKUP(A183,'Detalhes Links Lojas'!A183:D409,4)</f>
        <v>Claro</v>
      </c>
      <c r="C183" s="8" t="str">
        <f>VLOOKUP(A183,'Detalhes Links Lojas'!A183:L409,12)</f>
        <v>Vero</v>
      </c>
      <c r="D183">
        <v>1</v>
      </c>
    </row>
    <row r="184" spans="1:4">
      <c r="A184" s="4">
        <v>876</v>
      </c>
      <c r="B184" s="8" t="str">
        <f>VLOOKUP(A184,'Detalhes Links Lojas'!A184:D410,4)</f>
        <v>Vtal</v>
      </c>
      <c r="C184" s="8" t="str">
        <f>VLOOKUP(A184,'Detalhes Links Lojas'!A184:L410,12)</f>
        <v>Embratel</v>
      </c>
      <c r="D184">
        <v>1</v>
      </c>
    </row>
    <row r="185" spans="1:4">
      <c r="A185" s="4">
        <v>877</v>
      </c>
      <c r="B185" s="8" t="str">
        <f>VLOOKUP(A185,'Detalhes Links Lojas'!A185:D411,4)</f>
        <v>Vivo</v>
      </c>
      <c r="C185" s="8" t="str">
        <f>VLOOKUP(A185,'Detalhes Links Lojas'!A185:L411,12)</f>
        <v>Claro</v>
      </c>
      <c r="D185">
        <v>1</v>
      </c>
    </row>
    <row r="186" spans="1:4">
      <c r="A186" s="4">
        <v>879</v>
      </c>
      <c r="B186" s="8" t="str">
        <f>VLOOKUP(A186,'Detalhes Links Lojas'!A186:D412,4)</f>
        <v>Claro</v>
      </c>
      <c r="C186" s="8" t="str">
        <f>VLOOKUP(A186,'Detalhes Links Lojas'!A186:L412,12)</f>
        <v>Vivo</v>
      </c>
      <c r="D186">
        <v>1</v>
      </c>
    </row>
    <row r="187" spans="1:4">
      <c r="A187" s="4">
        <v>880</v>
      </c>
      <c r="B187" s="8" t="str">
        <f>VLOOKUP(A187,'Detalhes Links Lojas'!A187:D413,4)</f>
        <v>Claro</v>
      </c>
      <c r="C187" s="8" t="str">
        <f>VLOOKUP(A187,'Detalhes Links Lojas'!A187:L413,12)</f>
        <v>Vero</v>
      </c>
      <c r="D187">
        <v>1</v>
      </c>
    </row>
    <row r="188" spans="1:4">
      <c r="A188" s="4">
        <v>884</v>
      </c>
      <c r="B188" s="8" t="str">
        <f>VLOOKUP(A188,'Detalhes Links Lojas'!A188:D414,4)</f>
        <v>Claro</v>
      </c>
      <c r="C188" s="8" t="str">
        <f>VLOOKUP(A188,'Detalhes Links Lojas'!A188:L414,12)</f>
        <v>Vivo</v>
      </c>
      <c r="D188">
        <v>1</v>
      </c>
    </row>
    <row r="189" spans="1:4">
      <c r="A189" s="4">
        <v>885</v>
      </c>
      <c r="B189" s="8" t="e">
        <f>VLOOKUP(A189,'Detalhes Links Lojas'!A189:D415,4)</f>
        <v>#N/A</v>
      </c>
      <c r="C189" s="8" t="e">
        <f>VLOOKUP(A189,'Detalhes Links Lojas'!A189:L415,12)</f>
        <v>#N/A</v>
      </c>
      <c r="D189">
        <v>1</v>
      </c>
    </row>
    <row r="190" spans="1:4">
      <c r="A190" s="4">
        <v>888</v>
      </c>
      <c r="B190" s="8" t="str">
        <f>VLOOKUP(A190,'Detalhes Links Lojas'!A189:D416,4)</f>
        <v>Algar</v>
      </c>
      <c r="C190" s="8" t="str">
        <f>VLOOKUP(A190,'Detalhes Links Lojas'!A189:L416,12)</f>
        <v>Vero</v>
      </c>
      <c r="D190">
        <v>1</v>
      </c>
    </row>
    <row r="191" spans="1:4">
      <c r="A191" s="4">
        <v>889</v>
      </c>
      <c r="B191" s="8" t="str">
        <f>VLOOKUP(A191,'Detalhes Links Lojas'!A190:D417,4)</f>
        <v>Mundivox</v>
      </c>
      <c r="C191" s="8" t="str">
        <f>VLOOKUP(A191,'Detalhes Links Lojas'!A190:L417,12)</f>
        <v>Vero</v>
      </c>
      <c r="D191">
        <v>1</v>
      </c>
    </row>
    <row r="192" spans="1:4">
      <c r="A192" s="4">
        <v>890</v>
      </c>
      <c r="B192" s="8" t="str">
        <f>VLOOKUP(A192,'Detalhes Links Lojas'!A191:D418,4)</f>
        <v>Claro</v>
      </c>
      <c r="C192" s="8" t="str">
        <f>VLOOKUP(A192,'Detalhes Links Lojas'!A191:L418,12)</f>
        <v>Vero</v>
      </c>
      <c r="D192">
        <v>1</v>
      </c>
    </row>
    <row r="193" spans="1:4">
      <c r="A193" s="4">
        <v>891</v>
      </c>
      <c r="B193" s="8" t="str">
        <f>VLOOKUP(A193,'Detalhes Links Lojas'!A192:D419,4)</f>
        <v>Claro</v>
      </c>
      <c r="C193" s="8" t="str">
        <f>VLOOKUP(A193,'Detalhes Links Lojas'!A192:L419,12)</f>
        <v>Fibrion</v>
      </c>
      <c r="D193">
        <v>1</v>
      </c>
    </row>
    <row r="194" spans="1:4">
      <c r="A194" s="4">
        <v>893</v>
      </c>
      <c r="B194" s="8" t="str">
        <f>VLOOKUP(A194,'Detalhes Links Lojas'!A193:D420,4)</f>
        <v>Algar</v>
      </c>
      <c r="C194" s="8" t="str">
        <f>VLOOKUP(A194,'Detalhes Links Lojas'!A193:L420,12)</f>
        <v>Claro</v>
      </c>
      <c r="D194">
        <v>1</v>
      </c>
    </row>
    <row r="195" spans="1:4">
      <c r="A195" s="4">
        <v>895</v>
      </c>
      <c r="B195" s="8" t="str">
        <f>VLOOKUP(A195,'Detalhes Links Lojas'!A194:D421,4)</f>
        <v>Claro</v>
      </c>
      <c r="C195" s="8" t="str">
        <f>VLOOKUP(A195,'Detalhes Links Lojas'!A194:L421,12)</f>
        <v>Vivo</v>
      </c>
      <c r="D195">
        <v>1</v>
      </c>
    </row>
    <row r="196" spans="1:4">
      <c r="A196" s="4">
        <v>905</v>
      </c>
      <c r="B196" s="8" t="str">
        <f>VLOOKUP(A196,'Detalhes Links Lojas'!A195:D422,4)</f>
        <v>Claro</v>
      </c>
      <c r="C196" s="8" t="str">
        <f>VLOOKUP(A196,'Detalhes Links Lojas'!A195:L422,12)</f>
        <v>Vtal</v>
      </c>
      <c r="D196">
        <v>1</v>
      </c>
    </row>
    <row r="197" spans="1:4">
      <c r="A197" s="4">
        <v>908</v>
      </c>
      <c r="B197" s="8" t="str">
        <f>VLOOKUP(A197,'Detalhes Links Lojas'!A196:D423,4)</f>
        <v>Fibrion</v>
      </c>
      <c r="C197" s="8" t="str">
        <f>VLOOKUP(A197,'Detalhes Links Lojas'!A196:L423,12)</f>
        <v>Claro</v>
      </c>
      <c r="D197">
        <v>1</v>
      </c>
    </row>
    <row r="198" spans="1:4">
      <c r="A198" s="4">
        <v>912</v>
      </c>
      <c r="B198" s="8" t="str">
        <f>VLOOKUP(A198,'Detalhes Links Lojas'!A197:D425,4)</f>
        <v>Fibrion</v>
      </c>
      <c r="C198" s="8" t="str">
        <f>VLOOKUP(A198,'Detalhes Links Lojas'!A197:L425,12)</f>
        <v>Claro</v>
      </c>
      <c r="D198">
        <v>1</v>
      </c>
    </row>
    <row r="199" spans="1:4">
      <c r="A199" s="4">
        <v>913</v>
      </c>
      <c r="B199" s="8" t="str">
        <f>VLOOKUP(A199,'Detalhes Links Lojas'!A198:D426,4)</f>
        <v>Claro</v>
      </c>
      <c r="C199" s="8" t="str">
        <f>VLOOKUP(A199,'Detalhes Links Lojas'!A198:L426,12)</f>
        <v>Vivo</v>
      </c>
      <c r="D199">
        <v>1</v>
      </c>
    </row>
    <row r="200" spans="1:4">
      <c r="A200" s="4">
        <v>916</v>
      </c>
      <c r="B200" s="8" t="str">
        <f>VLOOKUP(A200,'Detalhes Links Lojas'!A199:D428,4)</f>
        <v>Claro</v>
      </c>
      <c r="C200" s="8" t="str">
        <f>VLOOKUP(A200,'Detalhes Links Lojas'!A199:L428,12)</f>
        <v>Vivo</v>
      </c>
      <c r="D200">
        <v>1</v>
      </c>
    </row>
    <row r="201" spans="1:4">
      <c r="A201" s="4">
        <v>919</v>
      </c>
      <c r="B201" s="8" t="str">
        <f>VLOOKUP(A201,'Detalhes Links Lojas'!A200:D429,4)</f>
        <v>Claro</v>
      </c>
      <c r="C201" s="8" t="str">
        <f>VLOOKUP(A201,'Detalhes Links Lojas'!A200:L429,12)</f>
        <v>Vivo</v>
      </c>
      <c r="D201">
        <v>1</v>
      </c>
    </row>
    <row r="202" spans="1:4">
      <c r="A202" s="4">
        <v>921</v>
      </c>
      <c r="B202" s="8" t="str">
        <f>VLOOKUP(A202,'Detalhes Links Lojas'!A201:D430,4)</f>
        <v>Fibrion</v>
      </c>
      <c r="C202" s="8" t="str">
        <f>VLOOKUP(A202,'Detalhes Links Lojas'!A201:L430,12)</f>
        <v>Algar</v>
      </c>
      <c r="D202">
        <v>1</v>
      </c>
    </row>
    <row r="203" spans="1:4">
      <c r="A203" s="4">
        <v>922</v>
      </c>
      <c r="B203" s="8" t="str">
        <f>VLOOKUP(A203,'Detalhes Links Lojas'!A202:D431,4)</f>
        <v>Claro</v>
      </c>
      <c r="C203" s="8" t="str">
        <f>VLOOKUP(A203,'Detalhes Links Lojas'!A202:L431,12)</f>
        <v>Fibrion</v>
      </c>
      <c r="D203">
        <v>1</v>
      </c>
    </row>
    <row r="204" spans="1:4">
      <c r="A204" s="4">
        <v>924</v>
      </c>
      <c r="B204" s="8" t="str">
        <f>VLOOKUP(A204,'Detalhes Links Lojas'!A203:D432,4)</f>
        <v>Mundivox</v>
      </c>
      <c r="C204" s="8" t="str">
        <f>VLOOKUP(A204,'Detalhes Links Lojas'!A203:L432,12)</f>
        <v>Vero</v>
      </c>
      <c r="D204">
        <v>1</v>
      </c>
    </row>
    <row r="205" spans="1:4">
      <c r="A205" s="4">
        <v>925</v>
      </c>
      <c r="B205" s="8" t="str">
        <f>VLOOKUP(A205,'Detalhes Links Lojas'!A204:D433,4)</f>
        <v>Claro</v>
      </c>
      <c r="C205" s="8" t="str">
        <f>VLOOKUP(A205,'Detalhes Links Lojas'!A204:L433,12)</f>
        <v>Vivo</v>
      </c>
      <c r="D205">
        <v>1</v>
      </c>
    </row>
    <row r="206" spans="1:4">
      <c r="A206" s="4">
        <v>926</v>
      </c>
      <c r="B206" s="8" t="str">
        <f>VLOOKUP(A206,'Detalhes Links Lojas'!A205:D434,4)</f>
        <v>Claro</v>
      </c>
      <c r="C206" s="8" t="str">
        <f>VLOOKUP(A206,'Detalhes Links Lojas'!A205:L434,12)</f>
        <v>Vivo</v>
      </c>
      <c r="D206">
        <v>1</v>
      </c>
    </row>
    <row r="207" spans="1:4">
      <c r="A207" s="4">
        <v>929</v>
      </c>
      <c r="B207" s="8" t="str">
        <f>VLOOKUP(A207,'Detalhes Links Lojas'!A206:D435,4)</f>
        <v>Vivo</v>
      </c>
      <c r="C207" s="8" t="str">
        <f>VLOOKUP(A207,'Detalhes Links Lojas'!A206:L435,12)</f>
        <v>Mundivox</v>
      </c>
      <c r="D207">
        <v>1</v>
      </c>
    </row>
    <row r="208" spans="1:4">
      <c r="A208" s="4">
        <v>930</v>
      </c>
      <c r="B208" s="8" t="str">
        <f>VLOOKUP(A208,'Detalhes Links Lojas'!A207:D436,4)</f>
        <v>Vivo</v>
      </c>
      <c r="C208" s="8" t="str">
        <f>VLOOKUP(A208,'Detalhes Links Lojas'!A207:L436,12)</f>
        <v>Irapido</v>
      </c>
      <c r="D208">
        <v>1</v>
      </c>
    </row>
    <row r="209" spans="1:4">
      <c r="A209" s="4">
        <v>934</v>
      </c>
      <c r="B209" s="8" t="str">
        <f>VLOOKUP(A209,'Detalhes Links Lojas'!A208:D437,4)</f>
        <v>Claro</v>
      </c>
      <c r="C209" s="8" t="str">
        <f>VLOOKUP(A209,'Detalhes Links Lojas'!A208:L437,12)</f>
        <v>Algar</v>
      </c>
      <c r="D209">
        <v>1</v>
      </c>
    </row>
    <row r="210" spans="1:4">
      <c r="A210" s="4">
        <v>936</v>
      </c>
      <c r="B210" s="8" t="str">
        <f>VLOOKUP(A210,'Detalhes Links Lojas'!A209:D438,4)</f>
        <v>Vivo</v>
      </c>
      <c r="C210" s="8" t="str">
        <f>VLOOKUP(A210,'Detalhes Links Lojas'!A209:L438,12)</f>
        <v>Claro</v>
      </c>
      <c r="D210">
        <v>1</v>
      </c>
    </row>
    <row r="211" spans="1:4">
      <c r="A211" s="4">
        <v>938</v>
      </c>
      <c r="B211" s="8" t="str">
        <f>VLOOKUP(A211,'Detalhes Links Lojas'!A210:D439,4)</f>
        <v>Claro</v>
      </c>
      <c r="C211" s="8" t="str">
        <f>VLOOKUP(A211,'Detalhes Links Lojas'!A210:L439,12)</f>
        <v>Vivo</v>
      </c>
      <c r="D211">
        <v>1</v>
      </c>
    </row>
    <row r="212" spans="1:4">
      <c r="A212" s="4">
        <v>939</v>
      </c>
      <c r="B212" s="8" t="str">
        <f>VLOOKUP(A212,'Detalhes Links Lojas'!A211:D440,4)</f>
        <v>Mundivox</v>
      </c>
      <c r="C212" s="8" t="str">
        <f>VLOOKUP(A212,'Detalhes Links Lojas'!A211:L440,12)</f>
        <v>Vero</v>
      </c>
      <c r="D212">
        <v>1</v>
      </c>
    </row>
    <row r="213" spans="1:4">
      <c r="A213" s="4">
        <v>943</v>
      </c>
      <c r="B213" s="8" t="str">
        <f>VLOOKUP(A213,'Detalhes Links Lojas'!A212:D442,4)</f>
        <v>Claro</v>
      </c>
      <c r="C213" s="8" t="str">
        <f>VLOOKUP(A213,'Detalhes Links Lojas'!A212:L442,12)</f>
        <v>SEA Telecom</v>
      </c>
      <c r="D213">
        <v>1</v>
      </c>
    </row>
    <row r="214" spans="1:4">
      <c r="A214" s="4">
        <v>944</v>
      </c>
      <c r="B214" s="8" t="str">
        <f>VLOOKUP(A214,'Detalhes Links Lojas'!A213:D443,4)</f>
        <v>Claro</v>
      </c>
      <c r="C214" s="8" t="str">
        <f>VLOOKUP(A214,'Detalhes Links Lojas'!A213:L443,12)</f>
        <v>Vivo</v>
      </c>
      <c r="D214">
        <v>1</v>
      </c>
    </row>
    <row r="215" spans="1:4">
      <c r="A215" s="4">
        <v>951</v>
      </c>
      <c r="B215" s="8" t="str">
        <f>VLOOKUP(A215,'Detalhes Links Lojas'!A214:D444,4)</f>
        <v>Claro</v>
      </c>
      <c r="C215" s="8" t="str">
        <f>VLOOKUP(A215,'Detalhes Links Lojas'!A214:L444,12)</f>
        <v>Vivo</v>
      </c>
      <c r="D215">
        <v>1</v>
      </c>
    </row>
    <row r="216" spans="1:4">
      <c r="A216" s="4">
        <v>957</v>
      </c>
      <c r="B216" s="8" t="str">
        <f>VLOOKUP(A216,'Detalhes Links Lojas'!A215:D445,4)</f>
        <v>Claro</v>
      </c>
      <c r="C216" s="8" t="str">
        <f>VLOOKUP(A216,'Detalhes Links Lojas'!A215:L445,12)</f>
        <v>Vivo</v>
      </c>
      <c r="D216">
        <v>1</v>
      </c>
    </row>
    <row r="217" spans="1:4">
      <c r="A217" s="4">
        <v>958</v>
      </c>
      <c r="B217" s="8" t="str">
        <f>VLOOKUP(A217,'Detalhes Links Lojas'!A216:D446,4)</f>
        <v>Tesa</v>
      </c>
      <c r="C217" s="8" t="str">
        <f>VLOOKUP(A217,'Detalhes Links Lojas'!A216:L446,12)</f>
        <v>Oi</v>
      </c>
      <c r="D217">
        <v>1</v>
      </c>
    </row>
    <row r="218" spans="1:4"/>
    <row r="219" spans="1:4"/>
    <row r="220" spans="1:4"/>
  </sheetData>
  <sheetProtection algorithmName="SHA-512" hashValue="iUUvsr6aV7VjOJhdEzt15UZwEIASgCCrGUFajOX5tkcZTyI5OluIIktt/W2BCsplAnLF9rQrn+YgVcucQqdEsQ==" saltValue="L1ylo1e+2tur23NqvEOy8w==" spinCount="100000" sheet="1" objects="1" scenarios="1"/>
  <autoFilter ref="A1:C217" xr:uid="{55A8D0DA-72F1-4D25-AAE1-E46AF8C9517A}">
    <sortState xmlns:xlrd2="http://schemas.microsoft.com/office/spreadsheetml/2017/richdata2" ref="A2:C217">
      <sortCondition ref="A1:A217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E9C7-955C-443F-B95D-660C73865607}">
  <sheetPr filterMode="1"/>
  <dimension ref="A1:L300"/>
  <sheetViews>
    <sheetView workbookViewId="0">
      <pane ySplit="2" topLeftCell="A50" activePane="bottomLeft" state="frozen"/>
      <selection pane="bottomLeft" activeCell="B304" sqref="B304"/>
    </sheetView>
  </sheetViews>
  <sheetFormatPr defaultRowHeight="15"/>
  <cols>
    <col min="1" max="1" width="18.7109375" bestFit="1" customWidth="1"/>
    <col min="2" max="2" width="13" customWidth="1"/>
    <col min="3" max="3" width="18" customWidth="1"/>
    <col min="4" max="4" width="16.85546875" customWidth="1"/>
    <col min="5" max="5" width="17.140625" customWidth="1"/>
    <col min="6" max="6" width="12.85546875" bestFit="1" customWidth="1"/>
    <col min="7" max="7" width="19.85546875" bestFit="1" customWidth="1"/>
    <col min="8" max="8" width="74.7109375" customWidth="1"/>
  </cols>
  <sheetData>
    <row r="1" spans="1:12">
      <c r="A1" s="1149" t="s">
        <v>2379</v>
      </c>
      <c r="B1" s="1149"/>
      <c r="C1" s="1149"/>
      <c r="D1" s="1149"/>
      <c r="E1" s="1149"/>
      <c r="F1" s="1149"/>
      <c r="G1" s="1149"/>
    </row>
    <row r="2" spans="1:12">
      <c r="A2" s="10" t="s">
        <v>4</v>
      </c>
      <c r="B2" s="10" t="s">
        <v>14</v>
      </c>
      <c r="C2" s="10" t="s">
        <v>2357</v>
      </c>
      <c r="D2" s="10" t="s">
        <v>2358</v>
      </c>
      <c r="E2" s="10" t="s">
        <v>2359</v>
      </c>
      <c r="F2" s="10" t="s">
        <v>2380</v>
      </c>
      <c r="G2" s="16" t="s">
        <v>16</v>
      </c>
      <c r="H2" s="8" t="s">
        <v>2361</v>
      </c>
    </row>
    <row r="3" spans="1:12" hidden="1">
      <c r="A3" s="17">
        <v>682</v>
      </c>
      <c r="B3" s="17" t="s">
        <v>2284</v>
      </c>
      <c r="C3" s="17" t="s">
        <v>2381</v>
      </c>
      <c r="D3" s="180">
        <v>255255255252</v>
      </c>
      <c r="E3" s="17" t="s">
        <v>2382</v>
      </c>
      <c r="F3" s="84">
        <v>45838</v>
      </c>
      <c r="G3" s="181" t="s">
        <v>2383</v>
      </c>
      <c r="H3" s="8"/>
    </row>
    <row r="4" spans="1:12" hidden="1">
      <c r="A4" s="8">
        <v>601</v>
      </c>
      <c r="B4" s="8" t="s">
        <v>2284</v>
      </c>
      <c r="C4" s="176" t="s">
        <v>2384</v>
      </c>
      <c r="D4" s="180" t="s">
        <v>2071</v>
      </c>
      <c r="E4" s="176" t="s">
        <v>2385</v>
      </c>
      <c r="F4" s="78">
        <v>45895</v>
      </c>
      <c r="G4" s="83" t="s">
        <v>2386</v>
      </c>
      <c r="H4" s="8"/>
    </row>
    <row r="5" spans="1:12" hidden="1">
      <c r="A5" s="8">
        <v>600</v>
      </c>
      <c r="B5" s="8" t="s">
        <v>2286</v>
      </c>
      <c r="C5" s="6" t="s">
        <v>2387</v>
      </c>
      <c r="D5" s="176">
        <v>255255255252</v>
      </c>
      <c r="E5" s="6" t="s">
        <v>2388</v>
      </c>
      <c r="F5" s="78">
        <v>45896</v>
      </c>
      <c r="G5" s="83" t="s">
        <v>2389</v>
      </c>
      <c r="H5" s="8" t="s">
        <v>2390</v>
      </c>
      <c r="I5" s="8" t="s">
        <v>2391</v>
      </c>
      <c r="J5" s="8" t="s">
        <v>2392</v>
      </c>
      <c r="K5" s="8" t="s">
        <v>2393</v>
      </c>
      <c r="L5" s="8" t="s">
        <v>2394</v>
      </c>
    </row>
    <row r="6" spans="1:12" hidden="1">
      <c r="A6" s="8">
        <v>140</v>
      </c>
      <c r="B6" s="8" t="s">
        <v>2284</v>
      </c>
      <c r="C6" s="8" t="s">
        <v>2395</v>
      </c>
      <c r="D6" s="179">
        <v>255255255252</v>
      </c>
      <c r="E6" s="8" t="s">
        <v>2396</v>
      </c>
      <c r="F6" s="78">
        <v>45896</v>
      </c>
      <c r="G6" s="83" t="s">
        <v>2383</v>
      </c>
      <c r="H6" s="8"/>
    </row>
    <row r="7" spans="1:12" hidden="1">
      <c r="A7" s="8">
        <v>662</v>
      </c>
      <c r="B7" s="8" t="s">
        <v>2286</v>
      </c>
      <c r="C7" s="8" t="s">
        <v>2384</v>
      </c>
      <c r="D7" s="8" t="s">
        <v>2071</v>
      </c>
      <c r="E7" s="176" t="s">
        <v>2071</v>
      </c>
      <c r="F7" s="78">
        <v>45896</v>
      </c>
      <c r="G7" s="83" t="s">
        <v>2389</v>
      </c>
      <c r="H7" s="8"/>
    </row>
    <row r="8" spans="1:12" hidden="1">
      <c r="A8" s="8">
        <v>565</v>
      </c>
      <c r="B8" s="8" t="s">
        <v>2286</v>
      </c>
      <c r="C8" s="8" t="s">
        <v>2384</v>
      </c>
      <c r="D8" s="8" t="s">
        <v>2071</v>
      </c>
      <c r="E8" s="8" t="s">
        <v>2071</v>
      </c>
      <c r="F8" s="78">
        <v>45898</v>
      </c>
      <c r="G8" s="83" t="s">
        <v>2389</v>
      </c>
      <c r="H8" s="8"/>
    </row>
    <row r="9" spans="1:12" hidden="1">
      <c r="A9" s="8">
        <v>885</v>
      </c>
      <c r="B9" s="8" t="s">
        <v>2286</v>
      </c>
      <c r="C9" s="8" t="s">
        <v>2384</v>
      </c>
      <c r="D9" s="8" t="s">
        <v>2071</v>
      </c>
      <c r="E9" s="8" t="s">
        <v>2071</v>
      </c>
      <c r="F9" s="78">
        <v>45898</v>
      </c>
      <c r="G9" s="83" t="s">
        <v>2389</v>
      </c>
      <c r="H9" s="8" t="s">
        <v>2397</v>
      </c>
      <c r="I9" s="8" t="s">
        <v>2398</v>
      </c>
      <c r="J9" s="8" t="s">
        <v>2399</v>
      </c>
      <c r="K9" s="8" t="s">
        <v>2400</v>
      </c>
      <c r="L9" s="8" t="s">
        <v>2401</v>
      </c>
    </row>
    <row r="10" spans="1:12" hidden="1">
      <c r="A10" s="8" t="s">
        <v>2402</v>
      </c>
      <c r="B10" s="8" t="s">
        <v>2286</v>
      </c>
      <c r="C10" s="8" t="s">
        <v>2384</v>
      </c>
      <c r="D10" s="8" t="s">
        <v>2071</v>
      </c>
      <c r="E10" s="8" t="s">
        <v>2071</v>
      </c>
      <c r="F10" s="78">
        <v>45901</v>
      </c>
      <c r="G10" s="83" t="s">
        <v>2389</v>
      </c>
      <c r="H10" s="8"/>
    </row>
    <row r="11" spans="1:12" hidden="1">
      <c r="A11" s="313">
        <v>601</v>
      </c>
      <c r="B11" s="8" t="s">
        <v>2286</v>
      </c>
      <c r="C11" s="8" t="s">
        <v>2384</v>
      </c>
      <c r="D11" s="8" t="s">
        <v>2071</v>
      </c>
      <c r="E11" s="8" t="s">
        <v>2071</v>
      </c>
      <c r="F11" s="78">
        <v>45902</v>
      </c>
      <c r="G11" s="83" t="s">
        <v>2389</v>
      </c>
      <c r="H11" s="8"/>
    </row>
    <row r="12" spans="1:12" hidden="1">
      <c r="A12" s="8">
        <v>744</v>
      </c>
      <c r="B12" s="8" t="s">
        <v>1954</v>
      </c>
      <c r="C12" s="8" t="s">
        <v>2384</v>
      </c>
      <c r="D12" s="8" t="s">
        <v>2071</v>
      </c>
      <c r="E12" s="8" t="s">
        <v>2071</v>
      </c>
      <c r="F12" s="78">
        <v>45902</v>
      </c>
      <c r="G12" s="83" t="s">
        <v>2386</v>
      </c>
      <c r="H12" s="8"/>
    </row>
    <row r="13" spans="1:12" hidden="1">
      <c r="A13" s="313">
        <v>43</v>
      </c>
      <c r="B13" s="8" t="s">
        <v>2286</v>
      </c>
      <c r="C13" s="8" t="s">
        <v>2384</v>
      </c>
      <c r="D13" s="8" t="s">
        <v>2071</v>
      </c>
      <c r="E13" s="8" t="s">
        <v>2071</v>
      </c>
      <c r="F13" s="78">
        <v>45904</v>
      </c>
      <c r="G13" s="83" t="s">
        <v>2389</v>
      </c>
      <c r="H13" s="8"/>
    </row>
    <row r="14" spans="1:12" hidden="1">
      <c r="A14" s="8">
        <v>550</v>
      </c>
      <c r="B14" s="8" t="s">
        <v>2286</v>
      </c>
      <c r="C14" s="8" t="s">
        <v>2384</v>
      </c>
      <c r="D14" s="8" t="s">
        <v>2071</v>
      </c>
      <c r="E14" s="8" t="s">
        <v>2071</v>
      </c>
      <c r="F14" s="78">
        <v>45904</v>
      </c>
      <c r="G14" s="83" t="s">
        <v>2389</v>
      </c>
      <c r="H14" s="8"/>
    </row>
    <row r="15" spans="1:12" hidden="1">
      <c r="A15" s="17">
        <v>889</v>
      </c>
      <c r="B15" s="17" t="s">
        <v>2286</v>
      </c>
      <c r="C15" s="17" t="s">
        <v>2384</v>
      </c>
      <c r="D15" s="17" t="s">
        <v>2071</v>
      </c>
      <c r="E15" s="17" t="s">
        <v>2071</v>
      </c>
      <c r="F15" s="84">
        <v>45904</v>
      </c>
      <c r="G15" s="181" t="s">
        <v>2389</v>
      </c>
      <c r="H15" s="17"/>
    </row>
    <row r="16" spans="1:12" hidden="1">
      <c r="A16" s="313">
        <v>586</v>
      </c>
      <c r="B16" s="8" t="s">
        <v>2286</v>
      </c>
      <c r="C16" s="8" t="s">
        <v>2384</v>
      </c>
      <c r="D16" s="8" t="s">
        <v>2071</v>
      </c>
      <c r="E16" s="8" t="s">
        <v>2071</v>
      </c>
      <c r="F16" s="78">
        <v>45910</v>
      </c>
      <c r="G16" s="8" t="s">
        <v>2389</v>
      </c>
      <c r="H16" s="8"/>
    </row>
    <row r="17" spans="1:8" hidden="1">
      <c r="A17" s="313">
        <v>640</v>
      </c>
      <c r="B17" s="8" t="s">
        <v>2286</v>
      </c>
      <c r="C17" s="8" t="s">
        <v>2384</v>
      </c>
      <c r="D17" s="8" t="s">
        <v>2071</v>
      </c>
      <c r="E17" s="8" t="s">
        <v>2071</v>
      </c>
      <c r="F17" s="78">
        <v>45915</v>
      </c>
      <c r="G17" s="8" t="s">
        <v>2389</v>
      </c>
      <c r="H17" s="8"/>
    </row>
    <row r="18" spans="1:8" hidden="1">
      <c r="A18" s="8">
        <v>675</v>
      </c>
      <c r="B18" s="8" t="s">
        <v>1956</v>
      </c>
      <c r="C18" s="8" t="s">
        <v>2403</v>
      </c>
      <c r="D18" s="179">
        <v>255255255252</v>
      </c>
      <c r="E18" s="8" t="s">
        <v>2404</v>
      </c>
      <c r="F18" s="78">
        <v>45916</v>
      </c>
      <c r="G18" s="8" t="s">
        <v>2383</v>
      </c>
      <c r="H18" s="8"/>
    </row>
    <row r="19" spans="1:8" hidden="1">
      <c r="A19" s="8">
        <v>125</v>
      </c>
      <c r="B19" s="8" t="s">
        <v>1954</v>
      </c>
      <c r="C19" s="8" t="s">
        <v>2384</v>
      </c>
      <c r="D19" s="8" t="s">
        <v>2071</v>
      </c>
      <c r="E19" s="8" t="s">
        <v>2071</v>
      </c>
      <c r="F19" s="78">
        <v>45917</v>
      </c>
      <c r="G19" s="83" t="s">
        <v>2386</v>
      </c>
      <c r="H19" s="8"/>
    </row>
    <row r="20" spans="1:8" hidden="1">
      <c r="A20" s="313">
        <v>877</v>
      </c>
      <c r="B20" s="8" t="s">
        <v>1954</v>
      </c>
      <c r="C20" s="8" t="s">
        <v>2384</v>
      </c>
      <c r="D20" s="8" t="s">
        <v>2071</v>
      </c>
      <c r="E20" s="8" t="s">
        <v>2071</v>
      </c>
      <c r="F20" s="78">
        <v>45919</v>
      </c>
      <c r="G20" s="83" t="s">
        <v>2386</v>
      </c>
      <c r="H20" s="8"/>
    </row>
    <row r="21" spans="1:8" hidden="1">
      <c r="A21" s="8">
        <v>568</v>
      </c>
      <c r="B21" s="8" t="s">
        <v>1956</v>
      </c>
      <c r="C21" s="8" t="s">
        <v>2405</v>
      </c>
      <c r="D21" s="176">
        <v>255255255252</v>
      </c>
      <c r="E21" s="8" t="s">
        <v>2406</v>
      </c>
      <c r="F21" s="78">
        <v>45919</v>
      </c>
      <c r="G21" s="8" t="s">
        <v>2383</v>
      </c>
      <c r="H21" s="8"/>
    </row>
    <row r="22" spans="1:8" hidden="1">
      <c r="A22" s="8">
        <v>589</v>
      </c>
      <c r="B22" s="8" t="s">
        <v>1954</v>
      </c>
      <c r="C22" s="8" t="s">
        <v>2384</v>
      </c>
      <c r="D22" s="8" t="s">
        <v>2071</v>
      </c>
      <c r="E22" s="8" t="s">
        <v>2071</v>
      </c>
      <c r="F22" s="78">
        <v>45922</v>
      </c>
      <c r="G22" s="83" t="s">
        <v>2386</v>
      </c>
      <c r="H22" s="8"/>
    </row>
    <row r="23" spans="1:8" hidden="1">
      <c r="A23" s="313">
        <v>770</v>
      </c>
      <c r="B23" s="8" t="s">
        <v>1954</v>
      </c>
      <c r="C23" s="8" t="s">
        <v>2384</v>
      </c>
      <c r="D23" s="8" t="s">
        <v>2071</v>
      </c>
      <c r="E23" s="8" t="s">
        <v>2071</v>
      </c>
      <c r="F23" s="78">
        <v>45922</v>
      </c>
      <c r="G23" s="83" t="s">
        <v>2386</v>
      </c>
      <c r="H23" s="8"/>
    </row>
    <row r="24" spans="1:8" hidden="1">
      <c r="A24" s="8">
        <v>719</v>
      </c>
      <c r="B24" s="8" t="s">
        <v>1954</v>
      </c>
      <c r="C24" s="8" t="s">
        <v>2384</v>
      </c>
      <c r="D24" s="8" t="s">
        <v>2071</v>
      </c>
      <c r="E24" s="8" t="s">
        <v>2071</v>
      </c>
      <c r="F24" s="78">
        <v>45922</v>
      </c>
      <c r="G24" s="83" t="s">
        <v>2386</v>
      </c>
      <c r="H24" s="8"/>
    </row>
    <row r="25" spans="1:8" hidden="1">
      <c r="A25" s="17">
        <v>774</v>
      </c>
      <c r="B25" s="17" t="s">
        <v>2286</v>
      </c>
      <c r="C25" s="17" t="s">
        <v>2384</v>
      </c>
      <c r="D25" s="17" t="s">
        <v>2071</v>
      </c>
      <c r="E25" s="17" t="s">
        <v>2071</v>
      </c>
      <c r="F25" s="84">
        <v>45925</v>
      </c>
      <c r="G25" s="17" t="s">
        <v>2389</v>
      </c>
      <c r="H25" s="17"/>
    </row>
    <row r="26" spans="1:8" hidden="1">
      <c r="A26" s="392">
        <v>563</v>
      </c>
      <c r="B26" s="17" t="s">
        <v>1956</v>
      </c>
      <c r="C26" s="17" t="s">
        <v>2407</v>
      </c>
      <c r="D26" s="180">
        <v>255255255252</v>
      </c>
      <c r="E26" s="17" t="s">
        <v>2408</v>
      </c>
      <c r="F26" s="84">
        <v>45925</v>
      </c>
      <c r="G26" s="17" t="s">
        <v>2383</v>
      </c>
      <c r="H26" s="17"/>
    </row>
    <row r="27" spans="1:8" hidden="1">
      <c r="A27" s="8">
        <v>751</v>
      </c>
      <c r="B27" s="8" t="s">
        <v>1954</v>
      </c>
      <c r="C27" s="68" t="s">
        <v>2384</v>
      </c>
      <c r="D27" s="8" t="s">
        <v>2071</v>
      </c>
      <c r="E27" s="8" t="s">
        <v>2071</v>
      </c>
      <c r="F27" s="78">
        <v>45926</v>
      </c>
      <c r="G27" s="8" t="s">
        <v>2386</v>
      </c>
      <c r="H27" s="17"/>
    </row>
    <row r="28" spans="1:8" hidden="1">
      <c r="A28" s="17">
        <v>929</v>
      </c>
      <c r="B28" s="17" t="s">
        <v>2286</v>
      </c>
      <c r="C28" s="69" t="s">
        <v>2384</v>
      </c>
      <c r="D28" s="17" t="s">
        <v>2071</v>
      </c>
      <c r="E28" s="17" t="s">
        <v>2071</v>
      </c>
      <c r="F28" s="84">
        <v>45926</v>
      </c>
      <c r="G28" s="181" t="s">
        <v>2389</v>
      </c>
      <c r="H28" s="12"/>
    </row>
    <row r="29" spans="1:8" hidden="1">
      <c r="A29" s="313">
        <v>921</v>
      </c>
      <c r="B29" s="8" t="s">
        <v>1956</v>
      </c>
      <c r="C29" s="8" t="s">
        <v>2409</v>
      </c>
      <c r="D29" s="176">
        <v>255255255252</v>
      </c>
      <c r="E29" s="8" t="s">
        <v>2410</v>
      </c>
      <c r="F29" s="78">
        <v>45936</v>
      </c>
      <c r="G29" s="8" t="s">
        <v>2383</v>
      </c>
      <c r="H29" s="8"/>
    </row>
    <row r="30" spans="1:8" hidden="1">
      <c r="A30" s="8">
        <v>867</v>
      </c>
      <c r="B30" s="8" t="s">
        <v>1956</v>
      </c>
      <c r="C30" s="176">
        <v>200233218229</v>
      </c>
      <c r="D30" s="176">
        <v>255255255252</v>
      </c>
      <c r="E30" s="176">
        <v>200233218230</v>
      </c>
      <c r="F30" s="78">
        <v>45937</v>
      </c>
      <c r="G30" s="8" t="s">
        <v>2383</v>
      </c>
      <c r="H30" s="8"/>
    </row>
    <row r="31" spans="1:8" hidden="1">
      <c r="A31" s="8">
        <v>590</v>
      </c>
      <c r="B31" s="8" t="s">
        <v>2286</v>
      </c>
      <c r="C31" s="8" t="s">
        <v>2384</v>
      </c>
      <c r="D31" s="8" t="s">
        <v>2071</v>
      </c>
      <c r="E31" s="8" t="s">
        <v>2071</v>
      </c>
      <c r="F31" s="78">
        <v>45938</v>
      </c>
      <c r="G31" s="181" t="s">
        <v>2389</v>
      </c>
      <c r="H31" s="8"/>
    </row>
    <row r="32" spans="1:8" hidden="1">
      <c r="A32" s="313">
        <v>848</v>
      </c>
      <c r="B32" s="8" t="s">
        <v>2284</v>
      </c>
      <c r="C32" s="8" t="s">
        <v>2384</v>
      </c>
      <c r="D32" s="8" t="s">
        <v>2071</v>
      </c>
      <c r="E32" s="8" t="s">
        <v>2071</v>
      </c>
      <c r="F32" s="78">
        <v>45939</v>
      </c>
      <c r="G32" s="8" t="s">
        <v>2372</v>
      </c>
      <c r="H32" s="8"/>
    </row>
    <row r="33" spans="1:8" hidden="1">
      <c r="A33" s="17">
        <v>893</v>
      </c>
      <c r="B33" s="17" t="s">
        <v>2284</v>
      </c>
      <c r="C33" s="17" t="s">
        <v>2384</v>
      </c>
      <c r="D33" s="17" t="s">
        <v>2071</v>
      </c>
      <c r="E33" s="17" t="s">
        <v>2071</v>
      </c>
      <c r="F33" s="84">
        <v>45939</v>
      </c>
      <c r="G33" s="17" t="s">
        <v>2372</v>
      </c>
      <c r="H33" s="17"/>
    </row>
    <row r="34" spans="1:8" hidden="1">
      <c r="A34" s="8">
        <v>709</v>
      </c>
      <c r="B34" s="8" t="s">
        <v>2284</v>
      </c>
      <c r="C34" s="8" t="s">
        <v>2411</v>
      </c>
      <c r="D34" s="176">
        <v>255255255252</v>
      </c>
      <c r="E34" s="8" t="s">
        <v>2412</v>
      </c>
      <c r="F34" s="78">
        <v>45943</v>
      </c>
      <c r="G34" s="8" t="s">
        <v>2383</v>
      </c>
      <c r="H34" s="8"/>
    </row>
    <row r="35" spans="1:8" hidden="1">
      <c r="A35" s="8">
        <v>645</v>
      </c>
      <c r="B35" s="8" t="s">
        <v>2284</v>
      </c>
      <c r="C35" s="176">
        <v>200212229250</v>
      </c>
      <c r="D35" s="176">
        <v>255255255252</v>
      </c>
      <c r="E35" s="176">
        <v>200212229249</v>
      </c>
      <c r="F35" s="78">
        <v>45944</v>
      </c>
      <c r="G35" s="8" t="s">
        <v>2383</v>
      </c>
      <c r="H35" s="7"/>
    </row>
    <row r="36" spans="1:8" hidden="1">
      <c r="A36" s="8">
        <v>576</v>
      </c>
      <c r="B36" s="7" t="s">
        <v>2286</v>
      </c>
      <c r="C36" s="69" t="s">
        <v>2384</v>
      </c>
      <c r="D36" s="17" t="s">
        <v>2071</v>
      </c>
      <c r="E36" s="17" t="s">
        <v>2071</v>
      </c>
      <c r="F36" s="84">
        <v>45944</v>
      </c>
      <c r="G36" s="181" t="s">
        <v>2389</v>
      </c>
      <c r="H36" s="7"/>
    </row>
    <row r="37" spans="1:8" hidden="1">
      <c r="A37" s="17">
        <v>580</v>
      </c>
      <c r="B37" s="17" t="s">
        <v>1954</v>
      </c>
      <c r="C37" s="69" t="s">
        <v>2384</v>
      </c>
      <c r="D37" s="17" t="s">
        <v>2071</v>
      </c>
      <c r="E37" s="17" t="s">
        <v>2071</v>
      </c>
      <c r="F37" s="84">
        <v>45944</v>
      </c>
      <c r="G37" s="181" t="s">
        <v>2386</v>
      </c>
      <c r="H37" s="12"/>
    </row>
    <row r="38" spans="1:8" hidden="1">
      <c r="A38" s="17">
        <v>943</v>
      </c>
      <c r="B38" s="17" t="s">
        <v>2284</v>
      </c>
      <c r="C38" s="180">
        <v>200213117214</v>
      </c>
      <c r="D38" s="176">
        <v>255255255252</v>
      </c>
      <c r="E38" s="440">
        <v>200213117213</v>
      </c>
      <c r="F38" s="78">
        <v>45945</v>
      </c>
      <c r="G38" s="8" t="s">
        <v>2383</v>
      </c>
      <c r="H38" s="12"/>
    </row>
    <row r="39" spans="1:8" hidden="1">
      <c r="A39" s="8">
        <v>565</v>
      </c>
      <c r="B39" s="8" t="s">
        <v>2284</v>
      </c>
      <c r="C39" s="8" t="s">
        <v>2384</v>
      </c>
      <c r="D39" s="8" t="s">
        <v>2071</v>
      </c>
      <c r="E39" s="8" t="s">
        <v>2071</v>
      </c>
      <c r="F39" s="78">
        <v>45945</v>
      </c>
      <c r="G39" s="8" t="s">
        <v>2372</v>
      </c>
      <c r="H39" s="7"/>
    </row>
    <row r="40" spans="1:8" hidden="1">
      <c r="A40" s="313">
        <v>598</v>
      </c>
      <c r="B40" s="8" t="s">
        <v>1954</v>
      </c>
      <c r="C40" s="8" t="s">
        <v>2384</v>
      </c>
      <c r="D40" s="8" t="s">
        <v>2071</v>
      </c>
      <c r="E40" s="8" t="s">
        <v>2071</v>
      </c>
      <c r="F40" s="78">
        <v>45946</v>
      </c>
      <c r="G40" s="8" t="s">
        <v>2386</v>
      </c>
      <c r="H40" s="7"/>
    </row>
    <row r="41" spans="1:8" hidden="1">
      <c r="A41" s="8">
        <v>617</v>
      </c>
      <c r="B41" s="8" t="s">
        <v>2284</v>
      </c>
      <c r="C41" s="8" t="s">
        <v>2384</v>
      </c>
      <c r="D41" s="8" t="s">
        <v>2071</v>
      </c>
      <c r="E41" s="8" t="s">
        <v>2071</v>
      </c>
      <c r="F41" s="78">
        <v>45946</v>
      </c>
      <c r="G41" s="8" t="s">
        <v>2372</v>
      </c>
      <c r="H41" s="7"/>
    </row>
    <row r="42" spans="1:8" hidden="1">
      <c r="A42" s="8">
        <v>687</v>
      </c>
      <c r="B42" s="8" t="s">
        <v>2284</v>
      </c>
      <c r="C42" s="8" t="s">
        <v>2384</v>
      </c>
      <c r="D42" s="8" t="s">
        <v>2071</v>
      </c>
      <c r="E42" s="8" t="s">
        <v>2071</v>
      </c>
      <c r="F42" s="78">
        <v>45946</v>
      </c>
      <c r="G42" s="8" t="s">
        <v>2372</v>
      </c>
      <c r="H42" s="7"/>
    </row>
    <row r="43" spans="1:8" hidden="1">
      <c r="A43" s="17">
        <v>725</v>
      </c>
      <c r="B43" s="17" t="s">
        <v>2284</v>
      </c>
      <c r="C43" s="17" t="s">
        <v>2384</v>
      </c>
      <c r="D43" s="17" t="s">
        <v>2071</v>
      </c>
      <c r="E43" s="17" t="s">
        <v>2071</v>
      </c>
      <c r="F43" s="84">
        <v>45947</v>
      </c>
      <c r="G43" s="17" t="s">
        <v>2372</v>
      </c>
      <c r="H43" s="17"/>
    </row>
    <row r="44" spans="1:8" hidden="1">
      <c r="A44" s="8">
        <v>529</v>
      </c>
      <c r="B44" s="8" t="s">
        <v>2284</v>
      </c>
      <c r="C44" s="8" t="s">
        <v>2413</v>
      </c>
      <c r="D44" s="176">
        <v>255255255252</v>
      </c>
      <c r="E44" s="8" t="s">
        <v>2414</v>
      </c>
      <c r="F44" s="78">
        <v>45950</v>
      </c>
      <c r="G44" s="8" t="s">
        <v>2383</v>
      </c>
      <c r="H44" s="7"/>
    </row>
    <row r="45" spans="1:8" hidden="1">
      <c r="A45" s="8">
        <v>715</v>
      </c>
      <c r="B45" s="8" t="s">
        <v>2284</v>
      </c>
      <c r="C45" s="8" t="s">
        <v>2384</v>
      </c>
      <c r="D45" s="8" t="s">
        <v>2071</v>
      </c>
      <c r="E45" s="8" t="s">
        <v>2071</v>
      </c>
      <c r="F45" s="78">
        <v>45950</v>
      </c>
      <c r="G45" s="8" t="s">
        <v>2372</v>
      </c>
      <c r="H45" s="7"/>
    </row>
    <row r="46" spans="1:8" hidden="1">
      <c r="A46" s="8">
        <v>939</v>
      </c>
      <c r="B46" s="7" t="s">
        <v>2286</v>
      </c>
      <c r="C46" s="69" t="s">
        <v>2384</v>
      </c>
      <c r="D46" s="17" t="s">
        <v>2071</v>
      </c>
      <c r="E46" s="17" t="s">
        <v>2071</v>
      </c>
      <c r="F46" s="84">
        <v>45950</v>
      </c>
      <c r="G46" s="181" t="s">
        <v>2389</v>
      </c>
      <c r="H46" s="7"/>
    </row>
    <row r="47" spans="1:8" hidden="1">
      <c r="A47" s="8">
        <v>924</v>
      </c>
      <c r="B47" s="7" t="s">
        <v>2286</v>
      </c>
      <c r="C47" s="69" t="s">
        <v>2384</v>
      </c>
      <c r="D47" s="17" t="s">
        <v>2071</v>
      </c>
      <c r="E47" s="17" t="s">
        <v>2071</v>
      </c>
      <c r="F47" s="84">
        <v>45951</v>
      </c>
      <c r="G47" s="181" t="s">
        <v>2389</v>
      </c>
      <c r="H47" s="7"/>
    </row>
    <row r="48" spans="1:8" hidden="1">
      <c r="A48" s="17">
        <v>845</v>
      </c>
      <c r="B48" s="17" t="s">
        <v>2284</v>
      </c>
      <c r="C48" s="17" t="s">
        <v>2415</v>
      </c>
      <c r="D48" s="180">
        <v>255255255252</v>
      </c>
      <c r="E48" s="17" t="s">
        <v>2416</v>
      </c>
      <c r="F48" s="84">
        <v>45952</v>
      </c>
      <c r="G48" s="17" t="s">
        <v>2383</v>
      </c>
      <c r="H48" s="12"/>
    </row>
    <row r="49" spans="1:8" hidden="1">
      <c r="A49" s="8">
        <v>643</v>
      </c>
      <c r="B49" s="8" t="s">
        <v>1956</v>
      </c>
      <c r="C49" s="8" t="s">
        <v>2417</v>
      </c>
      <c r="D49" s="176">
        <v>255255255252</v>
      </c>
      <c r="E49" s="8" t="s">
        <v>2418</v>
      </c>
      <c r="F49" s="84">
        <v>45952</v>
      </c>
      <c r="G49" s="8" t="s">
        <v>2383</v>
      </c>
      <c r="H49" s="7"/>
    </row>
    <row r="50" spans="1:8">
      <c r="A50" s="8">
        <v>579</v>
      </c>
      <c r="B50" s="8" t="s">
        <v>1956</v>
      </c>
      <c r="C50" s="8" t="s">
        <v>2419</v>
      </c>
      <c r="D50" s="176">
        <v>255255255252</v>
      </c>
      <c r="E50" s="8" t="s">
        <v>2420</v>
      </c>
      <c r="F50" s="84">
        <v>45952</v>
      </c>
      <c r="G50" s="8" t="s">
        <v>2383</v>
      </c>
      <c r="H50" s="7"/>
    </row>
    <row r="51" spans="1:8" hidden="1">
      <c r="A51" s="392">
        <v>536</v>
      </c>
      <c r="B51" s="17" t="s">
        <v>1956</v>
      </c>
      <c r="C51" s="440">
        <v>200170188221</v>
      </c>
      <c r="D51" s="440">
        <v>255255255252</v>
      </c>
      <c r="E51" s="180">
        <v>200170188222</v>
      </c>
      <c r="F51" s="84">
        <v>45953</v>
      </c>
      <c r="G51" s="17" t="s">
        <v>2383</v>
      </c>
      <c r="H51" s="7"/>
    </row>
    <row r="52" spans="1:8" hidden="1">
      <c r="A52" s="313">
        <v>908</v>
      </c>
      <c r="B52" s="8" t="s">
        <v>2284</v>
      </c>
      <c r="C52" s="8" t="s">
        <v>2421</v>
      </c>
      <c r="D52" s="180">
        <v>255255255240</v>
      </c>
      <c r="E52" s="8" t="s">
        <v>2422</v>
      </c>
      <c r="F52" s="78">
        <v>45954</v>
      </c>
      <c r="G52" s="8" t="s">
        <v>2383</v>
      </c>
      <c r="H52" s="65"/>
    </row>
    <row r="53" spans="1:8" hidden="1">
      <c r="A53" s="94">
        <v>649</v>
      </c>
      <c r="B53" s="94" t="s">
        <v>2284</v>
      </c>
      <c r="C53" s="484">
        <v>200213247210</v>
      </c>
      <c r="D53" s="180">
        <v>255255255252</v>
      </c>
      <c r="E53" s="484">
        <v>200213247209</v>
      </c>
      <c r="F53" s="237">
        <v>45954</v>
      </c>
      <c r="G53" s="94" t="s">
        <v>2383</v>
      </c>
      <c r="H53" s="12"/>
    </row>
    <row r="54" spans="1:8" hidden="1">
      <c r="A54" s="8">
        <v>652</v>
      </c>
      <c r="B54" s="8" t="s">
        <v>1954</v>
      </c>
      <c r="C54" s="8" t="s">
        <v>2384</v>
      </c>
      <c r="D54" s="8" t="s">
        <v>2071</v>
      </c>
      <c r="E54" s="8" t="s">
        <v>2071</v>
      </c>
      <c r="F54" s="78">
        <v>45954</v>
      </c>
      <c r="G54" s="8" t="s">
        <v>2386</v>
      </c>
      <c r="H54" s="7"/>
    </row>
    <row r="55" spans="1:8" hidden="1">
      <c r="A55" s="8">
        <v>531</v>
      </c>
      <c r="B55" s="7" t="s">
        <v>2286</v>
      </c>
      <c r="C55" s="8" t="s">
        <v>2384</v>
      </c>
      <c r="D55" s="8" t="s">
        <v>2071</v>
      </c>
      <c r="E55" s="8" t="s">
        <v>2071</v>
      </c>
      <c r="F55" s="78">
        <v>45954</v>
      </c>
      <c r="G55" s="8" t="s">
        <v>2389</v>
      </c>
      <c r="H55" s="7"/>
    </row>
    <row r="56" spans="1:8" hidden="1">
      <c r="A56" s="8">
        <v>712</v>
      </c>
      <c r="B56" s="8" t="s">
        <v>2284</v>
      </c>
      <c r="C56" s="176">
        <v>200228178182</v>
      </c>
      <c r="D56" s="176">
        <v>255255255252</v>
      </c>
      <c r="E56" s="176">
        <v>200228178181</v>
      </c>
      <c r="F56" s="78">
        <v>45957</v>
      </c>
      <c r="G56" s="94" t="s">
        <v>2383</v>
      </c>
      <c r="H56" s="7"/>
    </row>
    <row r="57" spans="1:8" hidden="1">
      <c r="A57" s="8">
        <v>667</v>
      </c>
      <c r="B57" s="8" t="s">
        <v>1954</v>
      </c>
      <c r="C57" s="8" t="s">
        <v>2384</v>
      </c>
      <c r="D57" s="8" t="s">
        <v>2071</v>
      </c>
      <c r="E57" s="8" t="s">
        <v>2071</v>
      </c>
      <c r="F57" s="78">
        <v>45957</v>
      </c>
      <c r="G57" s="8" t="s">
        <v>2386</v>
      </c>
      <c r="H57" s="7"/>
    </row>
    <row r="58" spans="1:8" hidden="1">
      <c r="A58" s="8">
        <v>642</v>
      </c>
      <c r="B58" s="8" t="s">
        <v>1954</v>
      </c>
      <c r="C58" s="8" t="s">
        <v>2384</v>
      </c>
      <c r="D58" s="8" t="s">
        <v>2071</v>
      </c>
      <c r="E58" s="8" t="s">
        <v>2071</v>
      </c>
      <c r="F58" s="78">
        <v>45957</v>
      </c>
      <c r="G58" s="8" t="s">
        <v>2386</v>
      </c>
      <c r="H58" s="7"/>
    </row>
    <row r="59" spans="1:8" hidden="1">
      <c r="A59" s="8">
        <v>135</v>
      </c>
      <c r="B59" s="8" t="s">
        <v>2284</v>
      </c>
      <c r="C59" s="8" t="s">
        <v>2384</v>
      </c>
      <c r="D59" s="8" t="s">
        <v>2071</v>
      </c>
      <c r="E59" s="8" t="s">
        <v>2071</v>
      </c>
      <c r="F59" s="78">
        <v>45958</v>
      </c>
      <c r="G59" s="8" t="s">
        <v>2372</v>
      </c>
      <c r="H59" s="7"/>
    </row>
    <row r="60" spans="1:8" hidden="1">
      <c r="A60" s="17">
        <v>553</v>
      </c>
      <c r="B60" s="17" t="s">
        <v>2284</v>
      </c>
      <c r="C60" s="17" t="s">
        <v>2384</v>
      </c>
      <c r="D60" s="17" t="s">
        <v>2071</v>
      </c>
      <c r="E60" s="17" t="s">
        <v>2071</v>
      </c>
      <c r="F60" s="84">
        <v>45959</v>
      </c>
      <c r="G60" s="17" t="s">
        <v>2372</v>
      </c>
      <c r="H60" s="12"/>
    </row>
    <row r="61" spans="1:8" hidden="1">
      <c r="A61" s="8">
        <v>888</v>
      </c>
      <c r="B61" s="8" t="s">
        <v>1956</v>
      </c>
      <c r="C61" s="176">
        <v>200233134145</v>
      </c>
      <c r="D61" s="176">
        <v>255255255252</v>
      </c>
      <c r="E61" s="176">
        <v>200233134146</v>
      </c>
      <c r="F61" s="89">
        <v>45959</v>
      </c>
      <c r="G61" s="8" t="s">
        <v>2383</v>
      </c>
      <c r="H61" s="68"/>
    </row>
    <row r="62" spans="1:8" hidden="1">
      <c r="A62" s="8">
        <v>765</v>
      </c>
      <c r="B62" s="8" t="s">
        <v>2284</v>
      </c>
      <c r="C62" s="8" t="s">
        <v>2423</v>
      </c>
      <c r="D62" s="176">
        <v>255255255252</v>
      </c>
      <c r="E62" s="8" t="s">
        <v>2424</v>
      </c>
      <c r="F62" s="89">
        <v>45959</v>
      </c>
      <c r="G62" s="8" t="s">
        <v>2383</v>
      </c>
      <c r="H62" s="68"/>
    </row>
    <row r="63" spans="1:8" hidden="1">
      <c r="A63" s="8">
        <v>885</v>
      </c>
      <c r="B63" s="8" t="s">
        <v>2284</v>
      </c>
      <c r="C63" s="8" t="s">
        <v>2384</v>
      </c>
      <c r="D63" s="8" t="s">
        <v>2071</v>
      </c>
      <c r="E63" s="8" t="s">
        <v>2071</v>
      </c>
      <c r="F63" s="78">
        <v>45959</v>
      </c>
      <c r="G63" s="10" t="s">
        <v>2372</v>
      </c>
      <c r="H63" s="8"/>
    </row>
    <row r="64" spans="1:8" hidden="1">
      <c r="A64" s="8">
        <v>671</v>
      </c>
      <c r="B64" s="8" t="s">
        <v>2284</v>
      </c>
      <c r="C64" s="8" t="s">
        <v>2384</v>
      </c>
      <c r="D64" s="8" t="s">
        <v>2071</v>
      </c>
      <c r="E64" s="8" t="s">
        <v>2071</v>
      </c>
      <c r="F64" s="78">
        <v>45960</v>
      </c>
      <c r="G64" s="10" t="s">
        <v>2372</v>
      </c>
      <c r="H64" s="8"/>
    </row>
    <row r="65" spans="1:8" hidden="1">
      <c r="A65" s="8">
        <v>726</v>
      </c>
      <c r="B65" s="8" t="s">
        <v>2284</v>
      </c>
      <c r="C65" s="8" t="s">
        <v>2425</v>
      </c>
      <c r="D65" s="176">
        <v>255255255252</v>
      </c>
      <c r="E65" s="8" t="s">
        <v>2426</v>
      </c>
      <c r="F65" s="78">
        <v>45961</v>
      </c>
      <c r="G65" s="8" t="s">
        <v>2383</v>
      </c>
      <c r="H65" s="8"/>
    </row>
    <row r="66" spans="1:8" hidden="1">
      <c r="A66" s="17">
        <v>641</v>
      </c>
      <c r="B66" s="17" t="s">
        <v>2284</v>
      </c>
      <c r="C66" s="17" t="s">
        <v>2427</v>
      </c>
      <c r="D66" s="180">
        <v>255255255252</v>
      </c>
      <c r="E66" s="17" t="s">
        <v>2428</v>
      </c>
      <c r="F66" s="84">
        <v>45961</v>
      </c>
      <c r="G66" s="17" t="s">
        <v>2383</v>
      </c>
      <c r="H66" s="17"/>
    </row>
    <row r="67" spans="1:8" hidden="1">
      <c r="A67" s="17">
        <v>582</v>
      </c>
      <c r="B67" s="17" t="s">
        <v>2284</v>
      </c>
      <c r="C67" s="17" t="s">
        <v>2429</v>
      </c>
      <c r="D67" s="180">
        <v>255255255240</v>
      </c>
      <c r="E67" s="17" t="s">
        <v>2430</v>
      </c>
      <c r="F67" s="84">
        <v>45964</v>
      </c>
      <c r="G67" s="17" t="s">
        <v>2383</v>
      </c>
      <c r="H67" s="7"/>
    </row>
    <row r="68" spans="1:8" hidden="1">
      <c r="A68" s="8">
        <v>650</v>
      </c>
      <c r="B68" s="8" t="s">
        <v>2284</v>
      </c>
      <c r="C68" s="8" t="s">
        <v>2431</v>
      </c>
      <c r="D68" s="176">
        <v>255255255252</v>
      </c>
      <c r="E68" s="8" t="s">
        <v>2432</v>
      </c>
      <c r="F68" s="78">
        <v>45964</v>
      </c>
      <c r="G68" s="8" t="s">
        <v>2383</v>
      </c>
      <c r="H68" s="65"/>
    </row>
    <row r="69" spans="1:8" hidden="1">
      <c r="A69" s="8">
        <v>688</v>
      </c>
      <c r="B69" s="8" t="s">
        <v>2284</v>
      </c>
      <c r="C69" s="179">
        <v>20156221242</v>
      </c>
      <c r="D69" s="179">
        <v>255255255252</v>
      </c>
      <c r="E69" s="179">
        <v>20156221241</v>
      </c>
      <c r="F69" s="78">
        <v>45965</v>
      </c>
      <c r="G69" s="8" t="s">
        <v>2383</v>
      </c>
      <c r="H69" s="65"/>
    </row>
    <row r="70" spans="1:8" hidden="1">
      <c r="A70" s="8">
        <v>607</v>
      </c>
      <c r="B70" s="8" t="s">
        <v>2284</v>
      </c>
      <c r="C70" s="179">
        <v>200178209194</v>
      </c>
      <c r="D70" s="179">
        <v>255255255240</v>
      </c>
      <c r="E70" s="179">
        <v>200178209193</v>
      </c>
      <c r="F70" s="78">
        <v>45965</v>
      </c>
      <c r="G70" s="8" t="s">
        <v>2383</v>
      </c>
      <c r="H70" s="65"/>
    </row>
    <row r="71" spans="1:8" hidden="1">
      <c r="A71" s="8">
        <v>913</v>
      </c>
      <c r="B71" s="8" t="s">
        <v>2284</v>
      </c>
      <c r="C71" s="179">
        <v>200243233114</v>
      </c>
      <c r="D71" s="179">
        <v>255255255240</v>
      </c>
      <c r="E71" s="179">
        <v>200243233113</v>
      </c>
      <c r="F71" s="78">
        <v>45965</v>
      </c>
      <c r="G71" s="8" t="s">
        <v>2383</v>
      </c>
      <c r="H71" s="480"/>
    </row>
    <row r="72" spans="1:8" hidden="1">
      <c r="A72" s="313">
        <v>660</v>
      </c>
      <c r="B72" s="8" t="s">
        <v>2284</v>
      </c>
      <c r="C72" s="313" t="s">
        <v>2433</v>
      </c>
      <c r="D72" s="176">
        <v>255255255240</v>
      </c>
      <c r="E72" s="8" t="s">
        <v>2434</v>
      </c>
      <c r="F72" s="78">
        <v>45965</v>
      </c>
      <c r="G72" s="8" t="s">
        <v>2383</v>
      </c>
      <c r="H72" s="68"/>
    </row>
    <row r="73" spans="1:8" hidden="1">
      <c r="A73" s="8">
        <v>951</v>
      </c>
      <c r="B73" s="8" t="s">
        <v>2284</v>
      </c>
      <c r="C73" s="313" t="s">
        <v>2435</v>
      </c>
      <c r="D73" s="176">
        <v>255255255240</v>
      </c>
      <c r="E73" s="313" t="s">
        <v>2436</v>
      </c>
      <c r="F73" s="78">
        <v>45965</v>
      </c>
      <c r="G73" s="8" t="s">
        <v>2383</v>
      </c>
      <c r="H73" s="68"/>
    </row>
    <row r="74" spans="1:8" hidden="1">
      <c r="A74" s="508">
        <v>176</v>
      </c>
      <c r="B74" s="94" t="s">
        <v>2286</v>
      </c>
      <c r="C74" s="94" t="s">
        <v>2384</v>
      </c>
      <c r="D74" s="94" t="s">
        <v>2071</v>
      </c>
      <c r="E74" s="94" t="s">
        <v>2071</v>
      </c>
      <c r="F74" s="237">
        <v>45965</v>
      </c>
      <c r="G74" s="94" t="s">
        <v>2389</v>
      </c>
      <c r="H74" s="17"/>
    </row>
    <row r="75" spans="1:8" hidden="1">
      <c r="A75" s="8">
        <v>852</v>
      </c>
      <c r="B75" s="83" t="s">
        <v>2284</v>
      </c>
      <c r="C75" s="176">
        <v>20018249114</v>
      </c>
      <c r="D75" s="176">
        <v>255255255240</v>
      </c>
      <c r="E75" s="8" t="s">
        <v>2437</v>
      </c>
      <c r="F75" s="413">
        <v>45966</v>
      </c>
      <c r="G75" s="8" t="s">
        <v>2383</v>
      </c>
      <c r="H75" s="8"/>
    </row>
    <row r="76" spans="1:8" hidden="1">
      <c r="A76" s="313">
        <v>664</v>
      </c>
      <c r="B76" s="83" t="s">
        <v>2284</v>
      </c>
      <c r="C76" s="8" t="s">
        <v>2438</v>
      </c>
      <c r="D76" s="176">
        <v>255255255240</v>
      </c>
      <c r="E76" s="8" t="s">
        <v>2439</v>
      </c>
      <c r="F76" s="413">
        <v>45966</v>
      </c>
      <c r="G76" s="8" t="s">
        <v>2383</v>
      </c>
      <c r="H76" s="8"/>
    </row>
    <row r="77" spans="1:8" hidden="1">
      <c r="A77" s="8">
        <v>909</v>
      </c>
      <c r="B77" s="83" t="s">
        <v>2284</v>
      </c>
      <c r="C77" s="8" t="s">
        <v>2440</v>
      </c>
      <c r="D77" s="176">
        <v>255255255240</v>
      </c>
      <c r="E77" s="8" t="s">
        <v>2441</v>
      </c>
      <c r="F77" s="413">
        <v>45966</v>
      </c>
      <c r="G77" s="8" t="s">
        <v>2383</v>
      </c>
      <c r="H77" s="8"/>
    </row>
    <row r="78" spans="1:8" hidden="1">
      <c r="A78" s="8">
        <v>639</v>
      </c>
      <c r="B78" s="83" t="s">
        <v>2284</v>
      </c>
      <c r="C78" s="8" t="s">
        <v>2442</v>
      </c>
      <c r="D78" s="176">
        <v>255255255240</v>
      </c>
      <c r="E78" s="8" t="s">
        <v>2443</v>
      </c>
      <c r="F78" s="413">
        <v>45966</v>
      </c>
      <c r="G78" s="8" t="s">
        <v>2383</v>
      </c>
      <c r="H78" s="8"/>
    </row>
    <row r="79" spans="1:8" hidden="1">
      <c r="A79" s="8">
        <v>564</v>
      </c>
      <c r="B79" s="83" t="s">
        <v>2284</v>
      </c>
      <c r="C79" s="176">
        <v>2015623114</v>
      </c>
      <c r="D79" s="176">
        <v>255255255240</v>
      </c>
      <c r="E79" s="176" t="s">
        <v>2444</v>
      </c>
      <c r="F79" s="413">
        <v>45966</v>
      </c>
      <c r="G79" s="8" t="s">
        <v>2383</v>
      </c>
      <c r="H79" s="8"/>
    </row>
    <row r="80" spans="1:8" hidden="1">
      <c r="A80" s="8">
        <v>851</v>
      </c>
      <c r="B80" s="83" t="s">
        <v>2284</v>
      </c>
      <c r="C80" s="176" t="s">
        <v>2445</v>
      </c>
      <c r="D80" s="176">
        <v>255255255240</v>
      </c>
      <c r="E80" s="176" t="s">
        <v>2446</v>
      </c>
      <c r="F80" s="413">
        <v>45966</v>
      </c>
      <c r="G80" s="8" t="s">
        <v>2383</v>
      </c>
      <c r="H80" s="8"/>
    </row>
    <row r="81" spans="1:8" hidden="1">
      <c r="A81" s="8">
        <v>783</v>
      </c>
      <c r="B81" s="83" t="s">
        <v>2284</v>
      </c>
      <c r="C81" s="176">
        <v>189326242</v>
      </c>
      <c r="D81" s="176">
        <v>255255255240</v>
      </c>
      <c r="E81" s="176" t="s">
        <v>2447</v>
      </c>
      <c r="F81" s="413">
        <v>45967</v>
      </c>
      <c r="G81" s="8" t="s">
        <v>2383</v>
      </c>
      <c r="H81" s="8"/>
    </row>
    <row r="82" spans="1:8" hidden="1">
      <c r="A82" s="8">
        <v>22</v>
      </c>
      <c r="B82" s="83" t="s">
        <v>2284</v>
      </c>
      <c r="C82" s="8" t="s">
        <v>2448</v>
      </c>
      <c r="D82" s="176">
        <v>255255255240</v>
      </c>
      <c r="E82" s="8" t="s">
        <v>2449</v>
      </c>
      <c r="F82" s="413">
        <v>45967</v>
      </c>
      <c r="G82" s="8" t="s">
        <v>2383</v>
      </c>
      <c r="H82" s="8"/>
    </row>
    <row r="83" spans="1:8" hidden="1">
      <c r="A83" s="8">
        <v>531</v>
      </c>
      <c r="B83" s="83" t="s">
        <v>1954</v>
      </c>
      <c r="C83" s="8" t="s">
        <v>2384</v>
      </c>
      <c r="D83" s="8" t="s">
        <v>2071</v>
      </c>
      <c r="E83" s="8" t="s">
        <v>2071</v>
      </c>
      <c r="F83" s="413">
        <v>45967</v>
      </c>
      <c r="G83" s="8" t="s">
        <v>2386</v>
      </c>
      <c r="H83" s="8"/>
    </row>
    <row r="84" spans="1:8" hidden="1">
      <c r="A84" s="8">
        <v>525</v>
      </c>
      <c r="B84" s="83" t="s">
        <v>2284</v>
      </c>
      <c r="C84" s="176">
        <v>189399146</v>
      </c>
      <c r="D84" s="176">
        <v>255255255240</v>
      </c>
      <c r="E84" s="176" t="s">
        <v>2450</v>
      </c>
      <c r="F84" s="413">
        <v>45967</v>
      </c>
      <c r="G84" s="8" t="s">
        <v>2383</v>
      </c>
      <c r="H84" s="8"/>
    </row>
    <row r="85" spans="1:8" hidden="1">
      <c r="A85" s="8">
        <v>774</v>
      </c>
      <c r="B85" s="83" t="s">
        <v>2284</v>
      </c>
      <c r="C85" s="8" t="s">
        <v>2451</v>
      </c>
      <c r="D85" s="176">
        <v>255255255240</v>
      </c>
      <c r="E85" s="8" t="s">
        <v>2452</v>
      </c>
      <c r="F85" s="413">
        <v>45968</v>
      </c>
      <c r="G85" s="8" t="s">
        <v>2383</v>
      </c>
      <c r="H85" s="8"/>
    </row>
    <row r="86" spans="1:8" hidden="1">
      <c r="A86" s="313">
        <v>526</v>
      </c>
      <c r="B86" s="181" t="s">
        <v>1956</v>
      </c>
      <c r="C86" s="17" t="s">
        <v>2453</v>
      </c>
      <c r="D86" s="180">
        <v>255255255252</v>
      </c>
      <c r="E86" s="17" t="s">
        <v>2454</v>
      </c>
      <c r="F86" s="489">
        <v>45968</v>
      </c>
      <c r="G86" s="8" t="s">
        <v>2383</v>
      </c>
      <c r="H86" s="8"/>
    </row>
    <row r="87" spans="1:8" hidden="1">
      <c r="A87" s="181">
        <v>647</v>
      </c>
      <c r="B87" s="8" t="s">
        <v>2284</v>
      </c>
      <c r="C87" s="8" t="s">
        <v>2455</v>
      </c>
      <c r="D87" s="176">
        <v>255255255240</v>
      </c>
      <c r="E87" s="8" t="s">
        <v>2455</v>
      </c>
      <c r="F87" s="78">
        <v>45971</v>
      </c>
      <c r="G87" s="69" t="s">
        <v>2383</v>
      </c>
      <c r="H87" s="8"/>
    </row>
    <row r="88" spans="1:8" hidden="1">
      <c r="A88" s="181">
        <v>605</v>
      </c>
      <c r="B88" s="8" t="s">
        <v>2284</v>
      </c>
      <c r="C88" s="176" t="s">
        <v>2456</v>
      </c>
      <c r="D88" s="176">
        <v>255255255240</v>
      </c>
      <c r="E88" s="176" t="s">
        <v>2457</v>
      </c>
      <c r="F88" s="78">
        <v>45971</v>
      </c>
      <c r="G88" s="69" t="s">
        <v>2383</v>
      </c>
      <c r="H88" s="69"/>
    </row>
    <row r="89" spans="1:8" hidden="1">
      <c r="A89" s="83">
        <v>618</v>
      </c>
      <c r="B89" s="8" t="s">
        <v>2284</v>
      </c>
      <c r="C89" s="176">
        <v>20173231162</v>
      </c>
      <c r="D89" s="176">
        <v>255255255240</v>
      </c>
      <c r="E89" s="176" t="s">
        <v>2458</v>
      </c>
      <c r="F89" s="78">
        <v>45971</v>
      </c>
      <c r="G89" s="68" t="s">
        <v>2383</v>
      </c>
      <c r="H89" s="7"/>
    </row>
    <row r="90" spans="1:8" hidden="1">
      <c r="A90" s="181">
        <v>929</v>
      </c>
      <c r="B90" s="17" t="s">
        <v>1954</v>
      </c>
      <c r="C90" s="180" t="s">
        <v>2459</v>
      </c>
      <c r="D90" s="180">
        <v>255255255248</v>
      </c>
      <c r="E90" s="180" t="s">
        <v>2460</v>
      </c>
      <c r="F90" s="84">
        <v>45971</v>
      </c>
      <c r="G90" s="69" t="s">
        <v>2461</v>
      </c>
      <c r="H90" s="7"/>
    </row>
    <row r="91" spans="1:8" hidden="1">
      <c r="A91" s="8">
        <v>659</v>
      </c>
      <c r="B91" s="8" t="s">
        <v>2284</v>
      </c>
      <c r="C91" s="176">
        <v>200174178130</v>
      </c>
      <c r="D91" s="176">
        <v>255255255240</v>
      </c>
      <c r="E91" s="176">
        <v>200174178129</v>
      </c>
      <c r="F91" s="78">
        <v>45972</v>
      </c>
      <c r="G91" s="8" t="s">
        <v>2383</v>
      </c>
      <c r="H91" s="480"/>
    </row>
    <row r="92" spans="1:8" hidden="1">
      <c r="A92" s="8">
        <v>780</v>
      </c>
      <c r="B92" s="8" t="s">
        <v>2284</v>
      </c>
      <c r="C92" s="8" t="s">
        <v>2462</v>
      </c>
      <c r="D92" s="176">
        <v>255255255240</v>
      </c>
      <c r="E92" s="8" t="s">
        <v>2463</v>
      </c>
      <c r="F92" s="78">
        <v>45975</v>
      </c>
      <c r="G92" s="8" t="s">
        <v>2383</v>
      </c>
      <c r="H92" s="65"/>
    </row>
    <row r="93" spans="1:8" hidden="1">
      <c r="A93" s="8">
        <v>745</v>
      </c>
      <c r="B93" s="8" t="s">
        <v>2284</v>
      </c>
      <c r="C93" s="176" t="s">
        <v>2464</v>
      </c>
      <c r="D93" s="180">
        <v>255255255248</v>
      </c>
      <c r="E93" s="176" t="s">
        <v>2465</v>
      </c>
      <c r="F93" s="78">
        <v>45975</v>
      </c>
      <c r="G93" s="8" t="s">
        <v>2383</v>
      </c>
      <c r="H93" s="65"/>
    </row>
    <row r="94" spans="1:8" hidden="1">
      <c r="A94" s="94">
        <v>717</v>
      </c>
      <c r="B94" s="94" t="s">
        <v>2284</v>
      </c>
      <c r="C94" s="484" t="s">
        <v>2466</v>
      </c>
      <c r="D94" s="515">
        <v>255255255252</v>
      </c>
      <c r="E94" s="484" t="s">
        <v>2467</v>
      </c>
      <c r="F94" s="237">
        <v>45975</v>
      </c>
      <c r="G94" s="94" t="s">
        <v>2383</v>
      </c>
      <c r="H94" s="7"/>
    </row>
    <row r="95" spans="1:8" hidden="1">
      <c r="A95" s="392">
        <v>142</v>
      </c>
      <c r="B95" s="17" t="s">
        <v>2286</v>
      </c>
      <c r="C95" s="17" t="s">
        <v>2384</v>
      </c>
      <c r="D95" s="17" t="s">
        <v>2071</v>
      </c>
      <c r="E95" s="17" t="s">
        <v>2071</v>
      </c>
      <c r="F95" s="84">
        <v>45975</v>
      </c>
      <c r="G95" s="17" t="s">
        <v>2389</v>
      </c>
      <c r="H95" s="480"/>
    </row>
    <row r="96" spans="1:8" hidden="1">
      <c r="A96" s="8">
        <v>678</v>
      </c>
      <c r="B96" s="8" t="s">
        <v>2284</v>
      </c>
      <c r="C96" s="17" t="s">
        <v>2468</v>
      </c>
      <c r="D96" s="180">
        <v>255255255240</v>
      </c>
      <c r="E96" s="17" t="s">
        <v>2469</v>
      </c>
      <c r="F96" s="78">
        <v>45978</v>
      </c>
      <c r="G96" s="8" t="s">
        <v>2383</v>
      </c>
      <c r="H96" s="65"/>
    </row>
    <row r="97" spans="1:8" hidden="1">
      <c r="A97" s="17">
        <v>606</v>
      </c>
      <c r="B97" s="181" t="s">
        <v>2284</v>
      </c>
      <c r="C97" s="176" t="s">
        <v>2470</v>
      </c>
      <c r="D97" s="176">
        <v>255255255240</v>
      </c>
      <c r="E97" s="176" t="s">
        <v>2471</v>
      </c>
      <c r="F97" s="489">
        <v>45978</v>
      </c>
      <c r="G97" s="17" t="s">
        <v>2383</v>
      </c>
      <c r="H97" s="480"/>
    </row>
    <row r="98" spans="1:8" hidden="1">
      <c r="A98" s="8">
        <v>578</v>
      </c>
      <c r="B98" s="181" t="s">
        <v>2284</v>
      </c>
      <c r="C98" s="176" t="s">
        <v>2472</v>
      </c>
      <c r="D98" s="176">
        <v>255255255240</v>
      </c>
      <c r="E98" s="176" t="s">
        <v>2473</v>
      </c>
      <c r="F98" s="413">
        <v>45979</v>
      </c>
      <c r="G98" s="17" t="s">
        <v>2383</v>
      </c>
      <c r="H98" s="8"/>
    </row>
    <row r="99" spans="1:8" hidden="1">
      <c r="A99" s="8">
        <v>629</v>
      </c>
      <c r="B99" s="181" t="s">
        <v>2284</v>
      </c>
      <c r="C99" s="176" t="s">
        <v>2474</v>
      </c>
      <c r="D99" s="176">
        <v>255255255240</v>
      </c>
      <c r="E99" s="176" t="s">
        <v>2475</v>
      </c>
      <c r="F99" s="413">
        <v>45980</v>
      </c>
      <c r="G99" s="17" t="s">
        <v>2383</v>
      </c>
      <c r="H99" s="8"/>
    </row>
    <row r="100" spans="1:8" hidden="1">
      <c r="A100" s="8">
        <v>857</v>
      </c>
      <c r="B100" s="17" t="s">
        <v>2284</v>
      </c>
      <c r="C100" s="517">
        <v>200208115242</v>
      </c>
      <c r="D100" s="180">
        <v>255255255240</v>
      </c>
      <c r="E100" s="517">
        <v>200208115241</v>
      </c>
      <c r="F100" s="78">
        <v>45980</v>
      </c>
      <c r="G100" s="17" t="s">
        <v>2383</v>
      </c>
      <c r="H100" s="8"/>
    </row>
    <row r="101" spans="1:8" hidden="1">
      <c r="A101" s="181">
        <v>849</v>
      </c>
      <c r="B101" s="8" t="s">
        <v>2284</v>
      </c>
      <c r="C101" s="8" t="s">
        <v>2476</v>
      </c>
      <c r="D101" s="176">
        <v>255255255240</v>
      </c>
      <c r="E101" s="8" t="s">
        <v>2477</v>
      </c>
      <c r="F101" s="489">
        <v>45980</v>
      </c>
      <c r="G101" s="17" t="s">
        <v>2383</v>
      </c>
      <c r="H101" s="17"/>
    </row>
    <row r="102" spans="1:8" hidden="1">
      <c r="A102" s="83">
        <v>626</v>
      </c>
      <c r="B102" s="8" t="s">
        <v>2284</v>
      </c>
      <c r="C102" s="17" t="s">
        <v>2478</v>
      </c>
      <c r="D102" s="180">
        <v>255255255240</v>
      </c>
      <c r="E102" s="17" t="s">
        <v>2479</v>
      </c>
      <c r="F102" s="413">
        <v>45980</v>
      </c>
      <c r="G102" s="8" t="s">
        <v>2383</v>
      </c>
      <c r="H102" s="8"/>
    </row>
    <row r="103" spans="1:8" hidden="1">
      <c r="A103" s="17">
        <v>544</v>
      </c>
      <c r="B103" s="376" t="s">
        <v>2286</v>
      </c>
      <c r="C103" s="8" t="s">
        <v>2384</v>
      </c>
      <c r="D103" s="8" t="s">
        <v>2071</v>
      </c>
      <c r="E103" s="8" t="s">
        <v>2071</v>
      </c>
      <c r="F103" s="489">
        <v>45980</v>
      </c>
      <c r="G103" s="17" t="s">
        <v>2389</v>
      </c>
      <c r="H103" s="17"/>
    </row>
    <row r="104" spans="1:8" hidden="1">
      <c r="A104" s="313">
        <v>771</v>
      </c>
      <c r="B104" s="83" t="s">
        <v>2284</v>
      </c>
      <c r="C104" s="8" t="s">
        <v>2480</v>
      </c>
      <c r="D104" s="176">
        <v>255255255240</v>
      </c>
      <c r="E104" s="8" t="s">
        <v>2481</v>
      </c>
      <c r="F104" s="413">
        <v>45982</v>
      </c>
      <c r="G104" s="8" t="s">
        <v>2383</v>
      </c>
      <c r="H104" s="8"/>
    </row>
    <row r="105" spans="1:8" hidden="1">
      <c r="A105" s="8">
        <v>685</v>
      </c>
      <c r="B105" s="83" t="s">
        <v>2284</v>
      </c>
      <c r="C105" s="8" t="s">
        <v>2482</v>
      </c>
      <c r="D105" s="176">
        <v>255255255240</v>
      </c>
      <c r="E105" s="8" t="s">
        <v>2483</v>
      </c>
      <c r="F105" s="413">
        <v>45982</v>
      </c>
      <c r="G105" s="8" t="s">
        <v>2383</v>
      </c>
      <c r="H105" s="8"/>
    </row>
    <row r="106" spans="1:8" hidden="1">
      <c r="A106" s="8">
        <v>859</v>
      </c>
      <c r="B106" s="83" t="s">
        <v>2284</v>
      </c>
      <c r="C106" s="176" t="s">
        <v>2484</v>
      </c>
      <c r="D106" s="176">
        <v>255255255240</v>
      </c>
      <c r="E106" s="176" t="s">
        <v>2485</v>
      </c>
      <c r="F106" s="413">
        <v>45982</v>
      </c>
      <c r="G106" s="8" t="s">
        <v>2383</v>
      </c>
      <c r="H106" s="8"/>
    </row>
    <row r="107" spans="1:8" hidden="1">
      <c r="A107" s="8">
        <v>737</v>
      </c>
      <c r="B107" s="83" t="s">
        <v>2284</v>
      </c>
      <c r="C107" s="176">
        <v>200178210226</v>
      </c>
      <c r="D107" s="176">
        <v>255255255240</v>
      </c>
      <c r="E107" s="176">
        <v>200178210225</v>
      </c>
      <c r="F107" s="413">
        <v>45982</v>
      </c>
      <c r="G107" s="8" t="s">
        <v>2383</v>
      </c>
      <c r="H107" s="8"/>
    </row>
    <row r="108" spans="1:8" hidden="1">
      <c r="A108" s="8">
        <v>884</v>
      </c>
      <c r="B108" s="83" t="s">
        <v>2284</v>
      </c>
      <c r="C108" s="8" t="s">
        <v>2486</v>
      </c>
      <c r="D108" s="176">
        <v>255255255240</v>
      </c>
      <c r="E108" s="8" t="s">
        <v>2487</v>
      </c>
      <c r="F108" s="413">
        <v>45982</v>
      </c>
      <c r="G108" s="8" t="s">
        <v>2383</v>
      </c>
      <c r="H108" s="8"/>
    </row>
    <row r="109" spans="1:8" hidden="1">
      <c r="A109" s="8">
        <v>785</v>
      </c>
      <c r="B109" s="83" t="s">
        <v>2284</v>
      </c>
      <c r="C109" s="8" t="s">
        <v>2488</v>
      </c>
      <c r="D109" s="176">
        <v>255255255240</v>
      </c>
      <c r="E109" s="8" t="s">
        <v>2489</v>
      </c>
      <c r="F109" s="413">
        <v>45982</v>
      </c>
      <c r="G109" s="8" t="s">
        <v>2383</v>
      </c>
      <c r="H109" s="8"/>
    </row>
    <row r="110" spans="1:8" hidden="1">
      <c r="A110" s="8">
        <v>731</v>
      </c>
      <c r="B110" s="83" t="s">
        <v>2284</v>
      </c>
      <c r="C110" s="176" t="s">
        <v>2490</v>
      </c>
      <c r="D110" s="176">
        <v>255255255240</v>
      </c>
      <c r="E110" s="176" t="s">
        <v>2491</v>
      </c>
      <c r="F110" s="413">
        <v>45982</v>
      </c>
      <c r="G110" s="8" t="s">
        <v>2383</v>
      </c>
      <c r="H110" s="8"/>
    </row>
    <row r="111" spans="1:8" hidden="1">
      <c r="A111" s="8">
        <v>613</v>
      </c>
      <c r="B111" s="83" t="s">
        <v>2284</v>
      </c>
      <c r="C111" s="176">
        <v>20018267162</v>
      </c>
      <c r="D111" s="176">
        <v>255255255240</v>
      </c>
      <c r="E111" s="176">
        <v>20018267161</v>
      </c>
      <c r="F111" s="413">
        <v>45982</v>
      </c>
      <c r="G111" s="8" t="s">
        <v>2383</v>
      </c>
      <c r="H111" s="8"/>
    </row>
    <row r="112" spans="1:8" hidden="1">
      <c r="A112" s="8">
        <v>733</v>
      </c>
      <c r="B112" s="181" t="s">
        <v>2284</v>
      </c>
      <c r="C112" s="180">
        <v>200172109210</v>
      </c>
      <c r="D112" s="180">
        <v>255255255240</v>
      </c>
      <c r="E112" s="180">
        <v>200172109209</v>
      </c>
      <c r="F112" s="413">
        <v>45982</v>
      </c>
      <c r="G112" s="8" t="s">
        <v>2383</v>
      </c>
      <c r="H112" s="8"/>
    </row>
    <row r="113" spans="1:8" hidden="1">
      <c r="A113" s="83">
        <v>652</v>
      </c>
      <c r="B113" s="8" t="s">
        <v>2284</v>
      </c>
      <c r="C113" s="176" t="s">
        <v>2492</v>
      </c>
      <c r="D113" s="176">
        <v>255255255240</v>
      </c>
      <c r="E113" s="176" t="s">
        <v>2493</v>
      </c>
      <c r="F113" s="413">
        <v>45982</v>
      </c>
      <c r="G113" s="8" t="s">
        <v>2383</v>
      </c>
      <c r="H113" s="8"/>
    </row>
    <row r="114" spans="1:8" hidden="1">
      <c r="A114" s="83">
        <v>580</v>
      </c>
      <c r="B114" s="8" t="s">
        <v>2284</v>
      </c>
      <c r="C114" s="176">
        <v>200178209210</v>
      </c>
      <c r="D114" s="176">
        <v>255255255240</v>
      </c>
      <c r="E114" s="176">
        <v>200178209209</v>
      </c>
      <c r="F114" s="413">
        <v>45982</v>
      </c>
      <c r="G114" s="8" t="s">
        <v>2383</v>
      </c>
      <c r="H114" s="8"/>
    </row>
    <row r="115" spans="1:8" hidden="1">
      <c r="A115" s="83">
        <v>864</v>
      </c>
      <c r="B115" s="8" t="s">
        <v>2284</v>
      </c>
      <c r="C115" s="176" t="s">
        <v>2494</v>
      </c>
      <c r="D115" s="176">
        <v>255255255240</v>
      </c>
      <c r="E115" s="176" t="s">
        <v>2495</v>
      </c>
      <c r="F115" s="413">
        <v>45982</v>
      </c>
      <c r="G115" s="8" t="s">
        <v>2383</v>
      </c>
      <c r="H115" s="8"/>
    </row>
    <row r="116" spans="1:8" hidden="1">
      <c r="A116" s="83">
        <v>656</v>
      </c>
      <c r="B116" s="17" t="s">
        <v>2284</v>
      </c>
      <c r="C116" s="17" t="s">
        <v>2496</v>
      </c>
      <c r="D116" s="180">
        <v>255255255240</v>
      </c>
      <c r="E116" s="17" t="s">
        <v>2497</v>
      </c>
      <c r="F116" s="489">
        <v>45982</v>
      </c>
      <c r="G116" s="17" t="s">
        <v>2383</v>
      </c>
      <c r="H116" s="8"/>
    </row>
    <row r="117" spans="1:8" hidden="1">
      <c r="A117" s="181">
        <v>599</v>
      </c>
      <c r="B117" s="8" t="s">
        <v>1954</v>
      </c>
      <c r="C117" s="8" t="s">
        <v>2384</v>
      </c>
      <c r="D117" s="8" t="s">
        <v>2071</v>
      </c>
      <c r="E117" s="8" t="s">
        <v>2071</v>
      </c>
      <c r="F117" s="78">
        <v>45988</v>
      </c>
      <c r="G117" s="8" t="s">
        <v>2386</v>
      </c>
      <c r="H117" s="69"/>
    </row>
    <row r="118" spans="1:8" hidden="1">
      <c r="A118" s="568">
        <v>632</v>
      </c>
      <c r="B118" s="8" t="s">
        <v>2284</v>
      </c>
      <c r="C118" s="8" t="s">
        <v>2498</v>
      </c>
      <c r="D118" s="176">
        <v>255255255252</v>
      </c>
      <c r="E118" s="8" t="s">
        <v>2499</v>
      </c>
      <c r="F118" s="78">
        <v>45992</v>
      </c>
      <c r="G118" s="8" t="s">
        <v>2383</v>
      </c>
      <c r="H118" s="68"/>
    </row>
    <row r="119" spans="1:8" hidden="1">
      <c r="A119" s="8">
        <v>654</v>
      </c>
      <c r="B119" s="10" t="s">
        <v>2284</v>
      </c>
      <c r="C119" s="6" t="s">
        <v>2500</v>
      </c>
      <c r="D119" s="180">
        <v>255255255240</v>
      </c>
      <c r="E119" s="6" t="s">
        <v>2501</v>
      </c>
      <c r="F119" s="78">
        <v>45992</v>
      </c>
      <c r="G119" s="8" t="s">
        <v>2383</v>
      </c>
      <c r="H119" s="8"/>
    </row>
    <row r="120" spans="1:8" hidden="1">
      <c r="A120" s="8">
        <v>916</v>
      </c>
      <c r="B120" s="83" t="s">
        <v>2284</v>
      </c>
      <c r="C120" s="176" t="s">
        <v>2502</v>
      </c>
      <c r="D120" s="176">
        <v>255255255240</v>
      </c>
      <c r="E120" s="176" t="s">
        <v>2503</v>
      </c>
      <c r="F120" s="413">
        <v>45992</v>
      </c>
      <c r="G120" s="8" t="s">
        <v>2383</v>
      </c>
      <c r="H120" s="8"/>
    </row>
    <row r="121" spans="1:8" hidden="1">
      <c r="A121" s="8">
        <v>754</v>
      </c>
      <c r="B121" s="83" t="s">
        <v>2284</v>
      </c>
      <c r="C121" s="8" t="s">
        <v>2504</v>
      </c>
      <c r="D121" s="176">
        <v>255255255240</v>
      </c>
      <c r="E121" s="8" t="s">
        <v>2505</v>
      </c>
      <c r="F121" s="413">
        <v>45992</v>
      </c>
      <c r="G121" s="8" t="s">
        <v>2383</v>
      </c>
      <c r="H121" s="8"/>
    </row>
    <row r="122" spans="1:8" hidden="1">
      <c r="A122" s="8">
        <v>880</v>
      </c>
      <c r="B122" s="8" t="s">
        <v>2284</v>
      </c>
      <c r="C122" s="484">
        <v>200209138210</v>
      </c>
      <c r="D122" s="515">
        <v>255255255240</v>
      </c>
      <c r="E122" s="484">
        <v>200209138209</v>
      </c>
      <c r="F122" s="78">
        <v>45993</v>
      </c>
      <c r="G122" s="8" t="s">
        <v>2383</v>
      </c>
      <c r="H122" s="8"/>
    </row>
    <row r="123" spans="1:8" hidden="1">
      <c r="A123" s="392">
        <v>944</v>
      </c>
      <c r="B123" s="83" t="s">
        <v>2284</v>
      </c>
      <c r="C123" s="8" t="s">
        <v>2506</v>
      </c>
      <c r="D123" s="176">
        <v>255255255240</v>
      </c>
      <c r="E123" s="8" t="s">
        <v>2507</v>
      </c>
      <c r="F123" s="413">
        <v>45993</v>
      </c>
      <c r="G123" s="8" t="s">
        <v>2383</v>
      </c>
      <c r="H123" s="17"/>
    </row>
    <row r="124" spans="1:8" hidden="1">
      <c r="A124" s="8">
        <v>178</v>
      </c>
      <c r="B124" s="83" t="s">
        <v>2284</v>
      </c>
      <c r="C124" s="573">
        <v>200241224114</v>
      </c>
      <c r="D124" s="573">
        <v>255255255240</v>
      </c>
      <c r="E124" s="573">
        <v>200241224113</v>
      </c>
      <c r="F124" s="413">
        <v>45993</v>
      </c>
      <c r="G124" s="8" t="s">
        <v>2383</v>
      </c>
      <c r="H124" s="8"/>
    </row>
    <row r="125" spans="1:8" hidden="1">
      <c r="A125" s="8">
        <v>905</v>
      </c>
      <c r="B125" s="83" t="s">
        <v>2284</v>
      </c>
      <c r="C125" s="176" t="s">
        <v>2508</v>
      </c>
      <c r="D125" s="176">
        <v>255255255240</v>
      </c>
      <c r="E125" s="176" t="s">
        <v>2509</v>
      </c>
      <c r="F125" s="413">
        <v>45994</v>
      </c>
      <c r="G125" s="8" t="s">
        <v>2383</v>
      </c>
      <c r="H125" s="8"/>
    </row>
    <row r="126" spans="1:8" hidden="1">
      <c r="A126" s="8">
        <v>639</v>
      </c>
      <c r="B126" s="8" t="s">
        <v>1954</v>
      </c>
      <c r="C126" s="94" t="s">
        <v>2384</v>
      </c>
      <c r="D126" s="94" t="s">
        <v>2071</v>
      </c>
      <c r="E126" s="94" t="s">
        <v>2071</v>
      </c>
      <c r="F126" s="78">
        <v>45994</v>
      </c>
      <c r="G126" s="8" t="s">
        <v>2386</v>
      </c>
      <c r="H126" s="8"/>
    </row>
    <row r="127" spans="1:8" hidden="1">
      <c r="A127" s="8">
        <v>672</v>
      </c>
      <c r="B127" s="83" t="s">
        <v>2284</v>
      </c>
      <c r="C127" s="176">
        <v>200178177178</v>
      </c>
      <c r="D127" s="176">
        <v>255255255240</v>
      </c>
      <c r="E127" s="176">
        <v>200178177177</v>
      </c>
      <c r="F127" s="413">
        <v>45994</v>
      </c>
      <c r="G127" s="8" t="s">
        <v>2383</v>
      </c>
      <c r="H127" s="8"/>
    </row>
    <row r="128" spans="1:8" hidden="1">
      <c r="A128" s="8">
        <v>868</v>
      </c>
      <c r="B128" s="83" t="s">
        <v>2284</v>
      </c>
      <c r="C128" s="180" t="s">
        <v>2510</v>
      </c>
      <c r="D128" s="180">
        <v>255255255240</v>
      </c>
      <c r="E128" s="180" t="s">
        <v>2511</v>
      </c>
      <c r="F128" s="413">
        <v>45994</v>
      </c>
      <c r="G128" s="8" t="s">
        <v>2383</v>
      </c>
      <c r="H128" s="8"/>
    </row>
    <row r="129" spans="1:8" hidden="1">
      <c r="A129" s="8">
        <v>125</v>
      </c>
      <c r="B129" s="83" t="s">
        <v>2284</v>
      </c>
      <c r="C129" s="8" t="s">
        <v>2512</v>
      </c>
      <c r="D129" s="176">
        <v>255255255240</v>
      </c>
      <c r="E129" s="8" t="s">
        <v>2513</v>
      </c>
      <c r="F129" s="413">
        <v>45994</v>
      </c>
      <c r="G129" s="8" t="s">
        <v>2383</v>
      </c>
      <c r="H129" s="8"/>
    </row>
    <row r="130" spans="1:8" hidden="1">
      <c r="A130" s="8">
        <v>747</v>
      </c>
      <c r="B130" s="181" t="s">
        <v>2284</v>
      </c>
      <c r="C130" s="180">
        <v>200231150194</v>
      </c>
      <c r="D130" s="180">
        <v>255255255240</v>
      </c>
      <c r="E130" s="180">
        <v>200231150193</v>
      </c>
      <c r="F130" s="413">
        <v>45994</v>
      </c>
      <c r="G130" s="8" t="s">
        <v>2383</v>
      </c>
      <c r="H130" s="8"/>
    </row>
    <row r="131" spans="1:8" hidden="1">
      <c r="A131" s="181">
        <v>520</v>
      </c>
      <c r="B131" s="83" t="s">
        <v>2284</v>
      </c>
      <c r="C131" s="176" t="s">
        <v>2514</v>
      </c>
      <c r="D131" s="176">
        <v>255255255240</v>
      </c>
      <c r="E131" s="176" t="s">
        <v>2515</v>
      </c>
      <c r="F131" s="489">
        <v>45994</v>
      </c>
      <c r="G131" s="17" t="s">
        <v>2383</v>
      </c>
      <c r="H131" s="17"/>
    </row>
    <row r="132" spans="1:8" hidden="1">
      <c r="A132" s="83">
        <v>922</v>
      </c>
      <c r="B132" s="83" t="s">
        <v>2284</v>
      </c>
      <c r="C132" s="8" t="s">
        <v>2516</v>
      </c>
      <c r="D132" s="176">
        <v>255255255252</v>
      </c>
      <c r="E132" s="8" t="s">
        <v>2517</v>
      </c>
      <c r="F132" s="413">
        <v>45995</v>
      </c>
      <c r="G132" s="17" t="s">
        <v>2383</v>
      </c>
      <c r="H132" s="8"/>
    </row>
    <row r="133" spans="1:8" hidden="1">
      <c r="A133" s="8">
        <v>723</v>
      </c>
      <c r="B133" s="83" t="s">
        <v>2284</v>
      </c>
      <c r="C133" s="8" t="s">
        <v>2518</v>
      </c>
      <c r="D133" s="176">
        <v>255255255240</v>
      </c>
      <c r="E133" s="8" t="s">
        <v>2519</v>
      </c>
      <c r="F133" s="413">
        <v>45995</v>
      </c>
      <c r="G133" s="17" t="s">
        <v>2383</v>
      </c>
      <c r="H133" s="8"/>
    </row>
    <row r="134" spans="1:8" hidden="1">
      <c r="A134" s="17">
        <v>651</v>
      </c>
      <c r="B134" s="181" t="s">
        <v>2284</v>
      </c>
      <c r="C134" s="180" t="s">
        <v>2520</v>
      </c>
      <c r="D134" s="180">
        <v>255255255240</v>
      </c>
      <c r="E134" s="180" t="s">
        <v>2521</v>
      </c>
      <c r="F134" s="489">
        <v>45995</v>
      </c>
      <c r="G134" s="17" t="s">
        <v>2383</v>
      </c>
      <c r="H134" s="17"/>
    </row>
    <row r="135" spans="1:8" hidden="1">
      <c r="A135" s="8">
        <v>696</v>
      </c>
      <c r="B135" s="83" t="s">
        <v>2284</v>
      </c>
      <c r="C135" s="176" t="s">
        <v>2522</v>
      </c>
      <c r="D135" s="176">
        <v>255255255240</v>
      </c>
      <c r="E135" s="176" t="s">
        <v>2523</v>
      </c>
      <c r="F135" s="413">
        <v>45995</v>
      </c>
      <c r="G135" s="8" t="s">
        <v>2383</v>
      </c>
      <c r="H135" s="8"/>
    </row>
    <row r="136" spans="1:8" hidden="1">
      <c r="A136" s="8">
        <v>719</v>
      </c>
      <c r="B136" s="83" t="s">
        <v>2284</v>
      </c>
      <c r="C136" s="8" t="s">
        <v>2524</v>
      </c>
      <c r="D136" s="176">
        <v>255255255240</v>
      </c>
      <c r="E136" s="8" t="s">
        <v>2525</v>
      </c>
      <c r="F136" s="413">
        <v>45995</v>
      </c>
      <c r="G136" s="8" t="s">
        <v>2383</v>
      </c>
      <c r="H136" s="8"/>
    </row>
    <row r="137" spans="1:8" hidden="1">
      <c r="A137" s="8">
        <v>577</v>
      </c>
      <c r="B137" s="83" t="s">
        <v>2284</v>
      </c>
      <c r="C137" s="176" t="s">
        <v>2526</v>
      </c>
      <c r="D137" s="176">
        <v>255255255248</v>
      </c>
      <c r="E137" s="176" t="s">
        <v>2527</v>
      </c>
      <c r="F137" s="413">
        <v>45995</v>
      </c>
      <c r="G137" s="8" t="s">
        <v>2383</v>
      </c>
      <c r="H137" s="8"/>
    </row>
    <row r="138" spans="1:8" hidden="1">
      <c r="A138" s="8">
        <v>795</v>
      </c>
      <c r="B138" s="83" t="s">
        <v>2284</v>
      </c>
      <c r="C138" s="8" t="s">
        <v>2528</v>
      </c>
      <c r="D138" s="176">
        <v>255255255240</v>
      </c>
      <c r="E138" s="8" t="s">
        <v>2529</v>
      </c>
      <c r="F138" s="413">
        <v>45995</v>
      </c>
      <c r="G138" s="8" t="s">
        <v>2383</v>
      </c>
      <c r="H138" s="8"/>
    </row>
    <row r="139" spans="1:8" hidden="1">
      <c r="A139" s="8">
        <v>624</v>
      </c>
      <c r="B139" s="83" t="s">
        <v>2284</v>
      </c>
      <c r="C139" s="176">
        <v>200178165178</v>
      </c>
      <c r="D139" s="176">
        <v>255255255240</v>
      </c>
      <c r="E139" s="176">
        <v>200178165177</v>
      </c>
      <c r="F139" s="413">
        <v>45995</v>
      </c>
      <c r="G139" s="8" t="s">
        <v>2383</v>
      </c>
      <c r="H139" s="8"/>
    </row>
    <row r="140" spans="1:8" hidden="1">
      <c r="A140" s="8">
        <v>150</v>
      </c>
      <c r="B140" s="83" t="s">
        <v>2284</v>
      </c>
      <c r="C140" s="176">
        <v>200172138162</v>
      </c>
      <c r="D140" s="176">
        <v>255255255240</v>
      </c>
      <c r="E140" s="176">
        <v>200172138161</v>
      </c>
      <c r="F140" s="413">
        <v>45996</v>
      </c>
      <c r="G140" s="8" t="s">
        <v>2383</v>
      </c>
      <c r="H140" s="8"/>
    </row>
    <row r="141" spans="1:8" hidden="1">
      <c r="A141" s="313">
        <v>548</v>
      </c>
      <c r="B141" s="83" t="s">
        <v>2284</v>
      </c>
      <c r="C141" s="8" t="s">
        <v>2530</v>
      </c>
      <c r="D141" s="176">
        <v>255255255240</v>
      </c>
      <c r="E141" s="8" t="s">
        <v>2531</v>
      </c>
      <c r="F141" s="413">
        <v>45996</v>
      </c>
      <c r="G141" s="8" t="s">
        <v>2383</v>
      </c>
      <c r="H141" s="8"/>
    </row>
    <row r="142" spans="1:8" hidden="1">
      <c r="A142" s="8">
        <v>627</v>
      </c>
      <c r="B142" s="83" t="s">
        <v>2284</v>
      </c>
      <c r="C142" s="8" t="s">
        <v>2532</v>
      </c>
      <c r="D142" s="176">
        <v>255255255240</v>
      </c>
      <c r="E142" s="8" t="s">
        <v>2533</v>
      </c>
      <c r="F142" s="413">
        <v>45996</v>
      </c>
      <c r="G142" s="8" t="s">
        <v>2383</v>
      </c>
      <c r="H142" s="8"/>
    </row>
    <row r="143" spans="1:8" hidden="1">
      <c r="A143" s="8">
        <v>130</v>
      </c>
      <c r="B143" s="83" t="s">
        <v>2284</v>
      </c>
      <c r="C143" s="8" t="s">
        <v>2534</v>
      </c>
      <c r="D143" s="176">
        <v>255255255240</v>
      </c>
      <c r="E143" s="8" t="s">
        <v>2535</v>
      </c>
      <c r="F143" s="413">
        <v>45996</v>
      </c>
      <c r="G143" s="8" t="s">
        <v>2383</v>
      </c>
      <c r="H143" s="8"/>
    </row>
    <row r="144" spans="1:8" hidden="1">
      <c r="A144" s="8">
        <v>558</v>
      </c>
      <c r="B144" s="83" t="s">
        <v>2284</v>
      </c>
      <c r="C144" s="8" t="s">
        <v>2536</v>
      </c>
      <c r="D144" s="176">
        <v>255255255240</v>
      </c>
      <c r="E144" s="8" t="s">
        <v>2537</v>
      </c>
      <c r="F144" s="413">
        <v>45996</v>
      </c>
      <c r="G144" s="8" t="s">
        <v>2383</v>
      </c>
      <c r="H144" s="8"/>
    </row>
    <row r="145" spans="1:8" hidden="1">
      <c r="A145" s="8">
        <v>788</v>
      </c>
      <c r="B145" s="83" t="s">
        <v>2284</v>
      </c>
      <c r="C145" s="176">
        <v>200178166130</v>
      </c>
      <c r="D145" s="176">
        <v>255255255240</v>
      </c>
      <c r="E145" s="176">
        <v>200178166129</v>
      </c>
      <c r="F145" s="413">
        <v>45996</v>
      </c>
      <c r="G145" s="8" t="s">
        <v>2383</v>
      </c>
      <c r="H145" s="8"/>
    </row>
    <row r="146" spans="1:8" hidden="1">
      <c r="A146" s="8">
        <v>925</v>
      </c>
      <c r="B146" s="83" t="s">
        <v>2284</v>
      </c>
      <c r="C146" s="180" t="s">
        <v>2538</v>
      </c>
      <c r="D146" s="180">
        <v>255255255240</v>
      </c>
      <c r="E146" s="180" t="s">
        <v>2539</v>
      </c>
      <c r="F146" s="413">
        <v>45996</v>
      </c>
      <c r="G146" s="8" t="s">
        <v>2383</v>
      </c>
      <c r="H146" s="8"/>
    </row>
    <row r="147" spans="1:8" hidden="1">
      <c r="A147" s="8">
        <v>698</v>
      </c>
      <c r="B147" s="83" t="s">
        <v>2284</v>
      </c>
      <c r="C147" s="176">
        <v>200211169242</v>
      </c>
      <c r="D147" s="176">
        <v>255255255240</v>
      </c>
      <c r="E147" s="176">
        <v>200211169241</v>
      </c>
      <c r="F147" s="413">
        <v>45996</v>
      </c>
      <c r="G147" s="8" t="s">
        <v>2383</v>
      </c>
      <c r="H147" s="8"/>
    </row>
    <row r="148" spans="1:8" hidden="1">
      <c r="A148" s="8">
        <v>938</v>
      </c>
      <c r="B148" s="83" t="s">
        <v>2284</v>
      </c>
      <c r="C148" s="8" t="s">
        <v>2540</v>
      </c>
      <c r="D148" s="176">
        <v>255255255240</v>
      </c>
      <c r="E148" s="8" t="s">
        <v>2541</v>
      </c>
      <c r="F148" s="413">
        <v>45999</v>
      </c>
      <c r="G148" s="8" t="s">
        <v>2383</v>
      </c>
      <c r="H148" s="8"/>
    </row>
    <row r="149" spans="1:8" hidden="1">
      <c r="A149" s="8">
        <v>527</v>
      </c>
      <c r="B149" s="83" t="s">
        <v>2284</v>
      </c>
      <c r="C149" s="8" t="s">
        <v>2542</v>
      </c>
      <c r="D149" s="176">
        <v>255255255240</v>
      </c>
      <c r="E149" s="8" t="s">
        <v>2543</v>
      </c>
      <c r="F149" s="413">
        <v>45999</v>
      </c>
      <c r="G149" s="8" t="s">
        <v>2383</v>
      </c>
      <c r="H149" s="8"/>
    </row>
    <row r="150" spans="1:8" hidden="1">
      <c r="A150" s="8">
        <v>599</v>
      </c>
      <c r="B150" s="83" t="s">
        <v>2284</v>
      </c>
      <c r="C150" s="176" t="s">
        <v>2544</v>
      </c>
      <c r="D150" s="176">
        <v>255255255240</v>
      </c>
      <c r="E150" s="176" t="s">
        <v>2545</v>
      </c>
      <c r="F150" s="413">
        <v>45999</v>
      </c>
      <c r="G150" s="8" t="s">
        <v>2383</v>
      </c>
      <c r="H150" s="8"/>
    </row>
    <row r="151" spans="1:8" hidden="1">
      <c r="A151" s="8">
        <v>631</v>
      </c>
      <c r="B151" s="83" t="s">
        <v>2284</v>
      </c>
      <c r="C151" s="8" t="s">
        <v>2546</v>
      </c>
      <c r="D151" s="176">
        <v>255255255240</v>
      </c>
      <c r="E151" s="8" t="s">
        <v>2547</v>
      </c>
      <c r="F151" s="413">
        <v>45999</v>
      </c>
      <c r="G151" s="8" t="s">
        <v>2383</v>
      </c>
      <c r="H151" s="8"/>
    </row>
    <row r="152" spans="1:8" hidden="1">
      <c r="A152" s="17">
        <v>535</v>
      </c>
      <c r="B152" s="181" t="s">
        <v>2284</v>
      </c>
      <c r="C152" s="180" t="s">
        <v>2548</v>
      </c>
      <c r="D152" s="180">
        <v>255255255240</v>
      </c>
      <c r="E152" s="180" t="s">
        <v>2549</v>
      </c>
      <c r="F152" s="489">
        <v>45999</v>
      </c>
      <c r="G152" s="17" t="s">
        <v>2383</v>
      </c>
      <c r="H152" s="17"/>
    </row>
    <row r="153" spans="1:8" hidden="1">
      <c r="A153" s="313">
        <v>653</v>
      </c>
      <c r="B153" s="83" t="s">
        <v>2284</v>
      </c>
      <c r="C153" s="8" t="s">
        <v>2550</v>
      </c>
      <c r="D153" s="176">
        <v>255255255240</v>
      </c>
      <c r="E153" s="8" t="s">
        <v>2551</v>
      </c>
      <c r="F153" s="413">
        <v>46000</v>
      </c>
      <c r="G153" s="8" t="s">
        <v>2383</v>
      </c>
      <c r="H153" s="8"/>
    </row>
    <row r="154" spans="1:8" hidden="1">
      <c r="A154" s="8">
        <v>619</v>
      </c>
      <c r="B154" s="83" t="s">
        <v>2284</v>
      </c>
      <c r="C154" s="176" t="s">
        <v>2552</v>
      </c>
      <c r="D154" s="176">
        <v>255255255240</v>
      </c>
      <c r="E154" s="176" t="s">
        <v>2553</v>
      </c>
      <c r="F154" s="413">
        <v>46000</v>
      </c>
      <c r="G154" s="8" t="s">
        <v>2383</v>
      </c>
      <c r="H154" s="8"/>
    </row>
    <row r="155" spans="1:8" hidden="1">
      <c r="A155" s="8">
        <v>730</v>
      </c>
      <c r="B155" s="83" t="s">
        <v>2284</v>
      </c>
      <c r="C155" s="8" t="s">
        <v>2554</v>
      </c>
      <c r="D155" s="176">
        <v>255255255240</v>
      </c>
      <c r="E155" s="8" t="s">
        <v>2555</v>
      </c>
      <c r="F155" s="413">
        <v>46000</v>
      </c>
      <c r="G155" s="8" t="s">
        <v>2383</v>
      </c>
      <c r="H155" s="8"/>
    </row>
    <row r="156" spans="1:8" hidden="1">
      <c r="A156" s="8">
        <v>895</v>
      </c>
      <c r="B156" s="83" t="s">
        <v>2284</v>
      </c>
      <c r="C156" s="176" t="s">
        <v>2556</v>
      </c>
      <c r="D156" s="176">
        <v>255255255240</v>
      </c>
      <c r="E156" s="176" t="s">
        <v>2557</v>
      </c>
      <c r="F156" s="413">
        <v>46000</v>
      </c>
      <c r="G156" s="8" t="s">
        <v>2383</v>
      </c>
      <c r="H156" s="8"/>
    </row>
    <row r="157" spans="1:8" hidden="1">
      <c r="A157" s="8">
        <v>517</v>
      </c>
      <c r="B157" s="83" t="s">
        <v>2284</v>
      </c>
      <c r="C157" s="8" t="s">
        <v>2558</v>
      </c>
      <c r="D157" s="176">
        <v>255255255240</v>
      </c>
      <c r="E157" s="8" t="s">
        <v>2559</v>
      </c>
      <c r="F157" s="413">
        <v>46000</v>
      </c>
      <c r="G157" s="8" t="s">
        <v>2383</v>
      </c>
      <c r="H157" s="8"/>
    </row>
    <row r="158" spans="1:8" hidden="1">
      <c r="A158" s="8">
        <v>514</v>
      </c>
      <c r="B158" s="83" t="s">
        <v>2284</v>
      </c>
      <c r="C158" s="176">
        <v>200211145242</v>
      </c>
      <c r="D158" s="176">
        <v>255255255240</v>
      </c>
      <c r="E158" s="176">
        <v>200211145241</v>
      </c>
      <c r="F158" s="413">
        <v>46001</v>
      </c>
      <c r="G158" s="8" t="s">
        <v>2383</v>
      </c>
      <c r="H158" s="8"/>
    </row>
    <row r="159" spans="1:8" hidden="1">
      <c r="A159" s="17">
        <v>636</v>
      </c>
      <c r="B159" s="181" t="s">
        <v>2284</v>
      </c>
      <c r="C159" s="176">
        <v>200178176162</v>
      </c>
      <c r="D159" s="176">
        <v>255255255240</v>
      </c>
      <c r="E159" s="176">
        <v>200178176161</v>
      </c>
      <c r="F159" s="489">
        <v>46001</v>
      </c>
      <c r="G159" s="17" t="s">
        <v>2383</v>
      </c>
      <c r="H159" s="17"/>
    </row>
    <row r="160" spans="1:8" hidden="1">
      <c r="A160" s="8">
        <v>80</v>
      </c>
      <c r="B160" s="83" t="s">
        <v>1954</v>
      </c>
      <c r="C160" s="8" t="s">
        <v>2384</v>
      </c>
      <c r="D160" s="8" t="s">
        <v>2071</v>
      </c>
      <c r="E160" s="8" t="s">
        <v>2071</v>
      </c>
      <c r="F160" s="413">
        <v>46002</v>
      </c>
      <c r="G160" s="8" t="s">
        <v>2386</v>
      </c>
      <c r="H160" s="8"/>
    </row>
    <row r="161" spans="1:8" hidden="1">
      <c r="A161" s="8">
        <v>729</v>
      </c>
      <c r="B161" s="83" t="s">
        <v>2284</v>
      </c>
      <c r="C161" s="176" t="s">
        <v>2560</v>
      </c>
      <c r="D161" s="176">
        <v>255255255240</v>
      </c>
      <c r="E161" s="176" t="s">
        <v>2561</v>
      </c>
      <c r="F161" s="413">
        <v>46002</v>
      </c>
      <c r="G161" s="17" t="s">
        <v>2383</v>
      </c>
      <c r="H161" s="8"/>
    </row>
    <row r="162" spans="1:8" hidden="1">
      <c r="A162" s="8">
        <v>879</v>
      </c>
      <c r="B162" s="83" t="s">
        <v>1954</v>
      </c>
      <c r="C162" s="8" t="s">
        <v>2384</v>
      </c>
      <c r="D162" s="8" t="s">
        <v>2071</v>
      </c>
      <c r="E162" s="8" t="s">
        <v>2071</v>
      </c>
      <c r="F162" s="413">
        <v>46002</v>
      </c>
      <c r="G162" s="8" t="s">
        <v>2386</v>
      </c>
      <c r="H162" s="8"/>
    </row>
    <row r="163" spans="1:8" hidden="1">
      <c r="A163" s="8">
        <v>930</v>
      </c>
      <c r="B163" s="83" t="s">
        <v>1954</v>
      </c>
      <c r="C163" s="8" t="s">
        <v>2562</v>
      </c>
      <c r="D163" s="176">
        <v>255255255248</v>
      </c>
      <c r="E163" s="8" t="s">
        <v>2563</v>
      </c>
      <c r="F163" s="413">
        <v>46003</v>
      </c>
      <c r="G163" s="17" t="s">
        <v>2383</v>
      </c>
      <c r="H163" s="8"/>
    </row>
    <row r="164" spans="1:8" hidden="1">
      <c r="A164" s="8">
        <v>663</v>
      </c>
      <c r="B164" s="83" t="s">
        <v>2284</v>
      </c>
      <c r="C164" s="180" t="s">
        <v>2564</v>
      </c>
      <c r="D164" s="180">
        <v>255255255240</v>
      </c>
      <c r="E164" s="180" t="s">
        <v>2565</v>
      </c>
      <c r="F164" s="413">
        <v>46006</v>
      </c>
      <c r="G164" s="17" t="s">
        <v>2383</v>
      </c>
      <c r="H164" s="8"/>
    </row>
    <row r="165" spans="1:8" hidden="1">
      <c r="A165" s="8">
        <v>659</v>
      </c>
      <c r="B165" s="83" t="s">
        <v>1954</v>
      </c>
      <c r="C165" s="8" t="s">
        <v>2384</v>
      </c>
      <c r="D165" s="8" t="s">
        <v>2071</v>
      </c>
      <c r="E165" s="8" t="s">
        <v>2071</v>
      </c>
      <c r="F165" s="413">
        <v>46006</v>
      </c>
      <c r="G165" s="8" t="s">
        <v>2386</v>
      </c>
      <c r="H165" s="8"/>
    </row>
    <row r="166" spans="1:8" hidden="1">
      <c r="A166" s="17">
        <v>674</v>
      </c>
      <c r="B166" s="181" t="s">
        <v>2284</v>
      </c>
      <c r="C166" s="176">
        <v>200210233170</v>
      </c>
      <c r="D166" s="176">
        <v>255255255252</v>
      </c>
      <c r="E166" s="176">
        <v>200210233169</v>
      </c>
      <c r="F166" s="489">
        <v>46007</v>
      </c>
      <c r="G166" s="17" t="s">
        <v>2383</v>
      </c>
      <c r="H166" s="17"/>
    </row>
    <row r="167" spans="1:8" hidden="1">
      <c r="A167" s="8">
        <v>508</v>
      </c>
      <c r="B167" s="83" t="s">
        <v>2284</v>
      </c>
      <c r="C167" s="176" t="s">
        <v>2566</v>
      </c>
      <c r="D167" s="176">
        <v>255255255240</v>
      </c>
      <c r="E167" s="176" t="s">
        <v>2567</v>
      </c>
      <c r="F167" s="489">
        <v>46007</v>
      </c>
      <c r="G167" s="17" t="s">
        <v>2383</v>
      </c>
      <c r="H167" s="8"/>
    </row>
    <row r="168" spans="1:8" hidden="1">
      <c r="A168" s="8">
        <v>608</v>
      </c>
      <c r="B168" s="83" t="s">
        <v>2284</v>
      </c>
      <c r="C168" s="176" t="s">
        <v>2568</v>
      </c>
      <c r="D168" s="176">
        <v>255255255240</v>
      </c>
      <c r="E168" s="176" t="s">
        <v>2569</v>
      </c>
      <c r="F168" s="489">
        <v>46007</v>
      </c>
      <c r="G168" s="17" t="s">
        <v>2383</v>
      </c>
      <c r="H168" s="8"/>
    </row>
    <row r="169" spans="1:8" hidden="1">
      <c r="A169" s="8">
        <v>642</v>
      </c>
      <c r="B169" s="83" t="s">
        <v>2284</v>
      </c>
      <c r="C169" s="176">
        <v>200178166162</v>
      </c>
      <c r="D169" s="176">
        <v>255255255240</v>
      </c>
      <c r="E169" s="176">
        <v>200178166161</v>
      </c>
      <c r="F169" s="489">
        <v>46007</v>
      </c>
      <c r="G169" s="17" t="s">
        <v>2383</v>
      </c>
      <c r="H169" s="8"/>
    </row>
    <row r="170" spans="1:8" hidden="1">
      <c r="A170" s="8">
        <v>196</v>
      </c>
      <c r="B170" s="83" t="s">
        <v>2284</v>
      </c>
      <c r="C170" s="176" t="s">
        <v>2570</v>
      </c>
      <c r="D170" s="176">
        <v>255255255240</v>
      </c>
      <c r="E170" s="176" t="s">
        <v>2571</v>
      </c>
      <c r="F170" s="489">
        <v>46007</v>
      </c>
      <c r="G170" s="17" t="s">
        <v>2383</v>
      </c>
      <c r="H170" s="8"/>
    </row>
    <row r="171" spans="1:8" hidden="1">
      <c r="A171" s="8">
        <v>778</v>
      </c>
      <c r="B171" s="83" t="s">
        <v>2284</v>
      </c>
      <c r="C171" s="8" t="s">
        <v>2572</v>
      </c>
      <c r="D171" s="176">
        <v>255255255240</v>
      </c>
      <c r="E171" s="8" t="s">
        <v>2573</v>
      </c>
      <c r="F171" s="413">
        <v>46008</v>
      </c>
      <c r="G171" s="17" t="s">
        <v>2383</v>
      </c>
      <c r="H171" s="8"/>
    </row>
    <row r="172" spans="1:8" hidden="1">
      <c r="A172" s="8">
        <v>657</v>
      </c>
      <c r="B172" s="83" t="s">
        <v>2284</v>
      </c>
      <c r="C172" s="573" t="s">
        <v>2574</v>
      </c>
      <c r="D172" s="573">
        <v>255255255240</v>
      </c>
      <c r="E172" s="573" t="s">
        <v>2575</v>
      </c>
      <c r="F172" s="413">
        <v>46008</v>
      </c>
      <c r="G172" s="17" t="s">
        <v>2383</v>
      </c>
      <c r="H172" s="8"/>
    </row>
    <row r="173" spans="1:8" hidden="1">
      <c r="A173" s="8">
        <v>796</v>
      </c>
      <c r="B173" s="83" t="s">
        <v>2284</v>
      </c>
      <c r="C173" s="8" t="s">
        <v>2576</v>
      </c>
      <c r="D173" s="176">
        <v>255255255240</v>
      </c>
      <c r="E173" s="8" t="s">
        <v>2577</v>
      </c>
      <c r="F173" s="413">
        <v>46008</v>
      </c>
      <c r="G173" s="17" t="s">
        <v>2383</v>
      </c>
      <c r="H173" s="8"/>
    </row>
    <row r="174" spans="1:8" hidden="1">
      <c r="A174" s="8">
        <v>610</v>
      </c>
      <c r="B174" s="83" t="s">
        <v>2284</v>
      </c>
      <c r="C174" s="176" t="s">
        <v>2578</v>
      </c>
      <c r="D174" s="176">
        <v>255255255240</v>
      </c>
      <c r="E174" s="176" t="s">
        <v>2579</v>
      </c>
      <c r="F174" s="413">
        <v>46008</v>
      </c>
      <c r="G174" s="17" t="s">
        <v>2383</v>
      </c>
      <c r="H174" s="8"/>
    </row>
    <row r="175" spans="1:8" hidden="1">
      <c r="A175" s="8">
        <v>764</v>
      </c>
      <c r="B175" s="83" t="s">
        <v>2580</v>
      </c>
      <c r="C175" s="8" t="s">
        <v>2581</v>
      </c>
      <c r="D175" s="176">
        <v>255255255252</v>
      </c>
      <c r="E175" s="8" t="s">
        <v>2582</v>
      </c>
      <c r="F175" s="413">
        <v>46009</v>
      </c>
      <c r="G175" s="8" t="s">
        <v>2583</v>
      </c>
      <c r="H175" s="8"/>
    </row>
    <row r="176" spans="1:8" hidden="1">
      <c r="A176" s="8">
        <v>794</v>
      </c>
      <c r="B176" s="83" t="s">
        <v>2580</v>
      </c>
      <c r="C176" s="8" t="s">
        <v>2384</v>
      </c>
      <c r="D176" s="8" t="s">
        <v>2071</v>
      </c>
      <c r="E176" s="8" t="s">
        <v>2071</v>
      </c>
      <c r="F176" s="413">
        <v>46009</v>
      </c>
      <c r="G176" s="8" t="s">
        <v>2584</v>
      </c>
      <c r="H176" s="8"/>
    </row>
    <row r="177" spans="1:8" hidden="1">
      <c r="A177" s="8">
        <v>604</v>
      </c>
      <c r="B177" s="83" t="s">
        <v>2284</v>
      </c>
      <c r="C177" s="8" t="s">
        <v>2585</v>
      </c>
      <c r="D177" s="176">
        <v>255255255240</v>
      </c>
      <c r="E177" s="8" t="s">
        <v>2586</v>
      </c>
      <c r="F177" s="413">
        <v>46009</v>
      </c>
      <c r="G177" s="17" t="s">
        <v>2383</v>
      </c>
      <c r="H177" s="8"/>
    </row>
    <row r="178" spans="1:8" hidden="1">
      <c r="A178" s="8">
        <v>919</v>
      </c>
      <c r="B178" s="83" t="s">
        <v>2284</v>
      </c>
      <c r="C178" s="8" t="s">
        <v>2587</v>
      </c>
      <c r="D178" s="176">
        <v>255255255240</v>
      </c>
      <c r="E178" s="8" t="s">
        <v>2588</v>
      </c>
      <c r="F178" s="413">
        <v>46009</v>
      </c>
      <c r="G178" s="17" t="s">
        <v>2383</v>
      </c>
      <c r="H178" s="8"/>
    </row>
    <row r="179" spans="1:8" hidden="1">
      <c r="A179" s="8">
        <v>633</v>
      </c>
      <c r="B179" s="83" t="s">
        <v>2284</v>
      </c>
      <c r="C179" s="573">
        <v>200182171194</v>
      </c>
      <c r="D179" s="573">
        <v>255255255240</v>
      </c>
      <c r="E179" s="573">
        <v>200182171193</v>
      </c>
      <c r="F179" s="413">
        <v>46009</v>
      </c>
      <c r="G179" s="17" t="s">
        <v>2383</v>
      </c>
      <c r="H179" s="8"/>
    </row>
    <row r="180" spans="1:8" hidden="1">
      <c r="A180" s="8">
        <v>665</v>
      </c>
      <c r="B180" s="83" t="s">
        <v>2284</v>
      </c>
      <c r="C180" s="8" t="s">
        <v>2589</v>
      </c>
      <c r="D180" s="176">
        <v>255255255248</v>
      </c>
      <c r="E180" s="8" t="s">
        <v>2590</v>
      </c>
      <c r="F180" s="413">
        <v>46009</v>
      </c>
      <c r="G180" s="17" t="s">
        <v>2383</v>
      </c>
      <c r="H180" s="8"/>
    </row>
    <row r="181" spans="1:8" hidden="1">
      <c r="A181" s="8">
        <v>768</v>
      </c>
      <c r="B181" s="83" t="s">
        <v>2580</v>
      </c>
      <c r="C181" s="176">
        <v>191240153162</v>
      </c>
      <c r="D181" s="176">
        <v>255255255252</v>
      </c>
      <c r="E181" s="176">
        <v>191240153161</v>
      </c>
      <c r="F181" s="413">
        <v>46009</v>
      </c>
      <c r="G181" s="8" t="s">
        <v>2583</v>
      </c>
      <c r="H181" s="8"/>
    </row>
    <row r="182" spans="1:8" hidden="1">
      <c r="A182" s="8">
        <v>734</v>
      </c>
      <c r="B182" s="8" t="s">
        <v>2580</v>
      </c>
      <c r="C182" s="94" t="s">
        <v>2384</v>
      </c>
      <c r="D182" s="94" t="s">
        <v>2071</v>
      </c>
      <c r="E182" s="94" t="s">
        <v>2071</v>
      </c>
      <c r="F182" s="78">
        <v>46009</v>
      </c>
      <c r="G182" s="8" t="s">
        <v>2583</v>
      </c>
      <c r="H182" s="8"/>
    </row>
    <row r="183" spans="1:8" hidden="1">
      <c r="A183" s="8">
        <v>751</v>
      </c>
      <c r="B183" s="8" t="s">
        <v>2580</v>
      </c>
      <c r="C183" s="17" t="s">
        <v>2384</v>
      </c>
      <c r="D183" s="17" t="s">
        <v>2071</v>
      </c>
      <c r="E183" s="17" t="s">
        <v>2071</v>
      </c>
      <c r="F183" s="78">
        <v>46009</v>
      </c>
      <c r="G183" s="8" t="s">
        <v>2583</v>
      </c>
      <c r="H183" s="8"/>
    </row>
    <row r="184" spans="1:8" hidden="1">
      <c r="A184" s="8">
        <v>730</v>
      </c>
      <c r="B184" s="8" t="s">
        <v>2580</v>
      </c>
      <c r="C184" s="17" t="s">
        <v>2384</v>
      </c>
      <c r="D184" s="17" t="s">
        <v>2071</v>
      </c>
      <c r="E184" s="17" t="s">
        <v>2071</v>
      </c>
      <c r="F184" s="78">
        <v>46009</v>
      </c>
      <c r="G184" s="8" t="s">
        <v>2583</v>
      </c>
      <c r="H184" s="8"/>
    </row>
    <row r="185" spans="1:8" hidden="1">
      <c r="A185" s="8">
        <v>622</v>
      </c>
      <c r="B185" s="83" t="s">
        <v>2294</v>
      </c>
      <c r="C185" s="8" t="s">
        <v>2591</v>
      </c>
      <c r="D185" s="176">
        <v>255255255255</v>
      </c>
      <c r="E185" s="8" t="s">
        <v>2592</v>
      </c>
      <c r="F185" s="413">
        <v>46009</v>
      </c>
      <c r="G185" s="17" t="s">
        <v>2383</v>
      </c>
      <c r="H185" s="8"/>
    </row>
    <row r="186" spans="1:8" hidden="1">
      <c r="A186" s="8">
        <v>566</v>
      </c>
      <c r="B186" s="8" t="s">
        <v>2284</v>
      </c>
      <c r="C186" s="484">
        <v>20130237146</v>
      </c>
      <c r="D186" s="573">
        <v>255255255240</v>
      </c>
      <c r="E186" s="484">
        <v>20130237145</v>
      </c>
      <c r="F186" s="78">
        <v>46009</v>
      </c>
      <c r="G186" s="17" t="s">
        <v>2383</v>
      </c>
      <c r="H186" s="8"/>
    </row>
    <row r="187" spans="1:8" hidden="1">
      <c r="A187" s="17" t="s">
        <v>2593</v>
      </c>
      <c r="B187" s="392" t="s">
        <v>2286</v>
      </c>
      <c r="C187" s="17" t="s">
        <v>2594</v>
      </c>
      <c r="D187" s="180">
        <v>255255255252</v>
      </c>
      <c r="E187" s="17" t="s">
        <v>2595</v>
      </c>
      <c r="F187" s="84">
        <v>46010</v>
      </c>
      <c r="G187" s="17" t="s">
        <v>2317</v>
      </c>
      <c r="H187" s="17" t="s">
        <v>2596</v>
      </c>
    </row>
    <row r="188" spans="1:8" hidden="1">
      <c r="A188" s="17">
        <v>890</v>
      </c>
      <c r="B188" s="17" t="s">
        <v>2284</v>
      </c>
      <c r="C188" s="17" t="s">
        <v>2597</v>
      </c>
      <c r="D188" s="180">
        <v>255255255240</v>
      </c>
      <c r="E188" s="17" t="s">
        <v>2598</v>
      </c>
      <c r="F188" s="84">
        <v>46010</v>
      </c>
      <c r="G188" s="17" t="s">
        <v>2383</v>
      </c>
      <c r="H188" s="17"/>
    </row>
    <row r="189" spans="1:8" hidden="1">
      <c r="A189" s="17" t="s">
        <v>2593</v>
      </c>
      <c r="B189" s="17" t="s">
        <v>1954</v>
      </c>
      <c r="C189" s="17" t="s">
        <v>2599</v>
      </c>
      <c r="D189" s="180">
        <v>255255255248</v>
      </c>
      <c r="E189" s="17" t="s">
        <v>2600</v>
      </c>
      <c r="F189" s="485">
        <v>46024</v>
      </c>
      <c r="G189" s="17" t="s">
        <v>2317</v>
      </c>
      <c r="H189" s="17" t="s">
        <v>2601</v>
      </c>
    </row>
    <row r="190" spans="1:8" hidden="1">
      <c r="A190" s="8">
        <v>165</v>
      </c>
      <c r="B190" s="8" t="s">
        <v>2286</v>
      </c>
      <c r="C190" s="8" t="s">
        <v>2384</v>
      </c>
      <c r="D190" s="8" t="s">
        <v>2071</v>
      </c>
      <c r="E190" s="8" t="s">
        <v>2071</v>
      </c>
      <c r="F190" s="78">
        <v>46027</v>
      </c>
      <c r="G190" s="8" t="s">
        <v>2389</v>
      </c>
      <c r="H190" s="8"/>
    </row>
    <row r="191" spans="1:8" hidden="1">
      <c r="A191" s="8">
        <v>785</v>
      </c>
      <c r="B191" s="8" t="s">
        <v>2580</v>
      </c>
      <c r="C191" s="8" t="s">
        <v>2384</v>
      </c>
      <c r="D191" s="8" t="s">
        <v>2071</v>
      </c>
      <c r="E191" s="8" t="s">
        <v>2071</v>
      </c>
      <c r="F191" s="78">
        <v>46027</v>
      </c>
      <c r="G191" s="8" t="s">
        <v>2584</v>
      </c>
      <c r="H191" s="8"/>
    </row>
    <row r="192" spans="1:8" hidden="1">
      <c r="A192" s="8">
        <v>136</v>
      </c>
      <c r="B192" s="17" t="s">
        <v>2286</v>
      </c>
      <c r="C192" s="17" t="s">
        <v>2384</v>
      </c>
      <c r="D192" s="17" t="s">
        <v>2071</v>
      </c>
      <c r="E192" s="17" t="s">
        <v>2071</v>
      </c>
      <c r="F192" s="78">
        <v>46027</v>
      </c>
      <c r="G192" s="8" t="s">
        <v>2389</v>
      </c>
      <c r="H192" s="8"/>
    </row>
    <row r="193" spans="1:8" hidden="1">
      <c r="A193" s="181">
        <v>926</v>
      </c>
      <c r="B193" s="17" t="s">
        <v>2284</v>
      </c>
      <c r="C193" s="180" t="s">
        <v>2602</v>
      </c>
      <c r="D193" s="180">
        <v>255255255240</v>
      </c>
      <c r="E193" s="180" t="s">
        <v>2603</v>
      </c>
      <c r="F193" s="489">
        <v>46028</v>
      </c>
      <c r="G193" s="17" t="s">
        <v>2383</v>
      </c>
      <c r="H193" s="17"/>
    </row>
    <row r="194" spans="1:8" hidden="1">
      <c r="A194" s="181">
        <v>677</v>
      </c>
      <c r="B194" s="8" t="s">
        <v>2297</v>
      </c>
      <c r="C194" s="176" t="s">
        <v>2604</v>
      </c>
      <c r="D194" s="176">
        <v>255255255252</v>
      </c>
      <c r="E194" s="176" t="s">
        <v>2605</v>
      </c>
      <c r="F194" s="78">
        <v>46028</v>
      </c>
      <c r="G194" s="69" t="s">
        <v>2606</v>
      </c>
      <c r="H194" s="8" t="s">
        <v>2607</v>
      </c>
    </row>
    <row r="195" spans="1:8" hidden="1">
      <c r="A195" s="8">
        <v>534</v>
      </c>
      <c r="B195" s="10" t="s">
        <v>2580</v>
      </c>
      <c r="C195" s="10" t="s">
        <v>2384</v>
      </c>
      <c r="D195" s="10" t="s">
        <v>2071</v>
      </c>
      <c r="E195" s="10" t="s">
        <v>2071</v>
      </c>
      <c r="F195" s="91">
        <v>46029</v>
      </c>
      <c r="G195" s="8" t="s">
        <v>2583</v>
      </c>
      <c r="H195" s="68"/>
    </row>
    <row r="196" spans="1:8" hidden="1">
      <c r="A196" s="313">
        <v>560</v>
      </c>
      <c r="B196" s="8" t="s">
        <v>2284</v>
      </c>
      <c r="C196" s="176" t="s">
        <v>2608</v>
      </c>
      <c r="D196" s="176">
        <v>255255255240</v>
      </c>
      <c r="E196" s="176" t="s">
        <v>2609</v>
      </c>
      <c r="F196" s="78">
        <v>46029</v>
      </c>
      <c r="G196" s="8" t="s">
        <v>2383</v>
      </c>
      <c r="H196" s="68"/>
    </row>
    <row r="197" spans="1:8" hidden="1">
      <c r="A197" s="10">
        <v>742</v>
      </c>
      <c r="B197" s="8" t="s">
        <v>2284</v>
      </c>
      <c r="C197" s="484" t="s">
        <v>2610</v>
      </c>
      <c r="D197" s="180">
        <v>255255255240</v>
      </c>
      <c r="E197" s="484" t="s">
        <v>2611</v>
      </c>
      <c r="F197" s="237">
        <v>46031</v>
      </c>
      <c r="G197" s="8" t="s">
        <v>2383</v>
      </c>
      <c r="H197" s="8"/>
    </row>
    <row r="198" spans="1:8" hidden="1">
      <c r="A198" s="17">
        <v>160</v>
      </c>
      <c r="B198" s="181" t="s">
        <v>2284</v>
      </c>
      <c r="C198" s="17" t="s">
        <v>2612</v>
      </c>
      <c r="D198" s="180">
        <v>255255255240</v>
      </c>
      <c r="E198" s="17" t="s">
        <v>2613</v>
      </c>
      <c r="F198" s="237">
        <v>46031</v>
      </c>
      <c r="G198" s="68" t="s">
        <v>2383</v>
      </c>
      <c r="H198" s="17"/>
    </row>
    <row r="199" spans="1:8" hidden="1">
      <c r="A199" s="83">
        <v>727</v>
      </c>
      <c r="B199" s="8" t="s">
        <v>2284</v>
      </c>
      <c r="C199" s="176" t="s">
        <v>2614</v>
      </c>
      <c r="D199" s="176">
        <v>255255255240</v>
      </c>
      <c r="E199" s="176" t="s">
        <v>2615</v>
      </c>
      <c r="F199" s="78">
        <v>46034</v>
      </c>
      <c r="G199" s="68" t="s">
        <v>2383</v>
      </c>
      <c r="H199" s="7"/>
    </row>
    <row r="200" spans="1:8" hidden="1">
      <c r="A200" s="83">
        <v>879</v>
      </c>
      <c r="B200" s="8" t="s">
        <v>2284</v>
      </c>
      <c r="C200" s="8" t="s">
        <v>2616</v>
      </c>
      <c r="D200" s="176">
        <v>255255255240</v>
      </c>
      <c r="E200" s="8" t="s">
        <v>2617</v>
      </c>
      <c r="F200" s="78">
        <v>46035</v>
      </c>
      <c r="G200" s="68" t="s">
        <v>2383</v>
      </c>
      <c r="H200" s="7"/>
    </row>
    <row r="201" spans="1:8" hidden="1">
      <c r="A201" s="83">
        <v>912</v>
      </c>
      <c r="B201" s="8" t="s">
        <v>2580</v>
      </c>
      <c r="C201" s="8" t="s">
        <v>2384</v>
      </c>
      <c r="D201" s="8" t="s">
        <v>2071</v>
      </c>
      <c r="E201" s="8" t="s">
        <v>2071</v>
      </c>
      <c r="F201" s="78">
        <v>46036</v>
      </c>
      <c r="G201" s="68" t="s">
        <v>2583</v>
      </c>
      <c r="H201" s="7"/>
    </row>
    <row r="202" spans="1:8" hidden="1">
      <c r="A202" s="17">
        <v>547</v>
      </c>
      <c r="B202" s="17" t="s">
        <v>2580</v>
      </c>
      <c r="C202" s="94" t="s">
        <v>2618</v>
      </c>
      <c r="D202" s="515">
        <v>255255255252</v>
      </c>
      <c r="E202" s="94" t="s">
        <v>2619</v>
      </c>
      <c r="F202" s="237">
        <v>46041</v>
      </c>
      <c r="G202" s="69" t="s">
        <v>2583</v>
      </c>
      <c r="H202" s="12"/>
    </row>
    <row r="203" spans="1:8" hidden="1">
      <c r="A203" s="8">
        <v>87</v>
      </c>
      <c r="B203" s="8" t="s">
        <v>2284</v>
      </c>
      <c r="C203" s="17"/>
      <c r="D203" s="17"/>
      <c r="E203" s="17"/>
      <c r="F203" s="78">
        <v>46043</v>
      </c>
      <c r="G203" s="68" t="s">
        <v>2383</v>
      </c>
      <c r="H203" s="8"/>
    </row>
    <row r="204" spans="1:8" hidden="1">
      <c r="A204" s="8">
        <v>681</v>
      </c>
      <c r="B204" s="83" t="s">
        <v>2284</v>
      </c>
      <c r="C204" s="8" t="s">
        <v>2620</v>
      </c>
      <c r="D204" s="176">
        <v>255255255240</v>
      </c>
      <c r="E204" s="8" t="s">
        <v>2621</v>
      </c>
      <c r="F204" s="413">
        <v>46043</v>
      </c>
      <c r="G204" s="68" t="s">
        <v>2383</v>
      </c>
      <c r="H204" s="8"/>
    </row>
    <row r="205" spans="1:8" hidden="1">
      <c r="A205" s="8">
        <v>676</v>
      </c>
      <c r="B205" s="83" t="s">
        <v>2284</v>
      </c>
      <c r="C205" s="176" t="s">
        <v>2622</v>
      </c>
      <c r="D205" s="176">
        <v>255255255240</v>
      </c>
      <c r="E205" s="176" t="s">
        <v>2623</v>
      </c>
      <c r="F205" s="413">
        <v>46044</v>
      </c>
      <c r="G205" s="68" t="s">
        <v>2383</v>
      </c>
      <c r="H205" s="8"/>
    </row>
    <row r="206" spans="1:8" hidden="1">
      <c r="A206" s="8">
        <v>573</v>
      </c>
      <c r="B206" s="181" t="s">
        <v>2284</v>
      </c>
      <c r="C206" s="180">
        <v>200183142162</v>
      </c>
      <c r="D206" s="180">
        <v>255255255240</v>
      </c>
      <c r="E206" s="180">
        <v>200183142161</v>
      </c>
      <c r="F206" s="489">
        <v>46045</v>
      </c>
      <c r="G206" s="68" t="s">
        <v>2383</v>
      </c>
      <c r="H206" s="8"/>
    </row>
    <row r="207" spans="1:8" hidden="1">
      <c r="A207" s="83">
        <v>660</v>
      </c>
      <c r="B207" s="8" t="s">
        <v>2297</v>
      </c>
      <c r="C207" s="8" t="s">
        <v>2624</v>
      </c>
      <c r="D207" s="176">
        <v>255255255252</v>
      </c>
      <c r="E207" s="8" t="s">
        <v>2625</v>
      </c>
      <c r="F207" s="78">
        <v>46052</v>
      </c>
      <c r="G207" s="69" t="s">
        <v>2606</v>
      </c>
      <c r="H207" s="8" t="s">
        <v>2607</v>
      </c>
    </row>
    <row r="208" spans="1:8" hidden="1">
      <c r="A208" s="17">
        <v>700</v>
      </c>
      <c r="B208" s="94" t="s">
        <v>1954</v>
      </c>
      <c r="C208" s="94" t="s">
        <v>2626</v>
      </c>
      <c r="D208" s="515">
        <v>255255255248</v>
      </c>
      <c r="E208" s="94" t="s">
        <v>2627</v>
      </c>
      <c r="F208" s="237">
        <v>46052</v>
      </c>
      <c r="G208" s="17" t="s">
        <v>2461</v>
      </c>
      <c r="H208" s="12"/>
    </row>
    <row r="209" spans="1:8" hidden="1">
      <c r="A209" s="8">
        <v>583</v>
      </c>
      <c r="B209" s="181" t="s">
        <v>1956</v>
      </c>
      <c r="C209" s="180" t="s">
        <v>2628</v>
      </c>
      <c r="D209" s="180">
        <v>255255255252</v>
      </c>
      <c r="E209" s="180" t="s">
        <v>2629</v>
      </c>
      <c r="F209" s="489">
        <v>46058</v>
      </c>
      <c r="G209" s="8" t="s">
        <v>2383</v>
      </c>
      <c r="H209" s="8"/>
    </row>
    <row r="210" spans="1:8" hidden="1">
      <c r="A210" s="83">
        <v>575</v>
      </c>
      <c r="B210" s="8" t="s">
        <v>2297</v>
      </c>
      <c r="C210" s="176" t="s">
        <v>2630</v>
      </c>
      <c r="D210" s="176">
        <v>255255255252</v>
      </c>
      <c r="E210" s="176">
        <v>2015982137</v>
      </c>
      <c r="F210" s="78">
        <v>46059</v>
      </c>
      <c r="G210" s="69" t="s">
        <v>2606</v>
      </c>
      <c r="H210" s="8" t="s">
        <v>2607</v>
      </c>
    </row>
    <row r="211" spans="1:8" hidden="1">
      <c r="A211" s="83">
        <v>756</v>
      </c>
      <c r="B211" s="8" t="s">
        <v>2297</v>
      </c>
      <c r="C211" s="176" t="s">
        <v>2631</v>
      </c>
      <c r="D211" s="176">
        <v>255255255252</v>
      </c>
      <c r="E211" s="176" t="s">
        <v>2632</v>
      </c>
      <c r="F211" s="78">
        <v>46059</v>
      </c>
      <c r="G211" s="69" t="s">
        <v>2606</v>
      </c>
      <c r="H211" s="8" t="s">
        <v>2607</v>
      </c>
    </row>
    <row r="212" spans="1:8" hidden="1">
      <c r="A212" s="8">
        <v>752</v>
      </c>
      <c r="B212" s="16" t="s">
        <v>2284</v>
      </c>
      <c r="C212" s="10" t="s">
        <v>2633</v>
      </c>
      <c r="D212" s="573">
        <v>255255255240</v>
      </c>
      <c r="E212" s="10" t="s">
        <v>2634</v>
      </c>
      <c r="F212" s="492">
        <v>46059</v>
      </c>
      <c r="G212" s="68" t="s">
        <v>2383</v>
      </c>
      <c r="H212" s="8"/>
    </row>
    <row r="213" spans="1:8" hidden="1">
      <c r="A213" s="8">
        <v>635</v>
      </c>
      <c r="B213" s="83" t="s">
        <v>1956</v>
      </c>
      <c r="C213" s="176" t="s">
        <v>2635</v>
      </c>
      <c r="D213" s="176">
        <v>255255255252</v>
      </c>
      <c r="E213" s="176" t="s">
        <v>2636</v>
      </c>
      <c r="F213" s="413">
        <v>46059</v>
      </c>
      <c r="G213" s="68" t="s">
        <v>2383</v>
      </c>
      <c r="H213" s="8"/>
    </row>
    <row r="214" spans="1:8" hidden="1">
      <c r="A214" s="8">
        <v>661</v>
      </c>
      <c r="B214" s="83" t="s">
        <v>1954</v>
      </c>
      <c r="C214" s="515" t="s">
        <v>2637</v>
      </c>
      <c r="D214" s="515">
        <v>255255255248</v>
      </c>
      <c r="E214" s="515" t="s">
        <v>2638</v>
      </c>
      <c r="F214" s="489">
        <v>46059</v>
      </c>
      <c r="G214" s="69" t="s">
        <v>2383</v>
      </c>
      <c r="H214" s="8"/>
    </row>
    <row r="215" spans="1:8" hidden="1">
      <c r="A215" s="8">
        <v>684</v>
      </c>
      <c r="B215" s="83" t="s">
        <v>2284</v>
      </c>
      <c r="C215" s="8" t="s">
        <v>2639</v>
      </c>
      <c r="D215" s="176">
        <v>255255255240</v>
      </c>
      <c r="E215" s="8" t="s">
        <v>2640</v>
      </c>
      <c r="F215" s="78">
        <v>46059</v>
      </c>
      <c r="G215" s="8" t="s">
        <v>2383</v>
      </c>
      <c r="H215" s="68"/>
    </row>
    <row r="216" spans="1:8" hidden="1">
      <c r="A216" s="8">
        <v>661</v>
      </c>
      <c r="B216" s="83" t="s">
        <v>2284</v>
      </c>
      <c r="C216" s="176" t="s">
        <v>2641</v>
      </c>
      <c r="D216" s="176">
        <v>255255255240</v>
      </c>
      <c r="E216" s="176" t="s">
        <v>2642</v>
      </c>
      <c r="F216" s="78">
        <v>46062</v>
      </c>
      <c r="G216" s="8" t="s">
        <v>2383</v>
      </c>
      <c r="H216" s="68"/>
    </row>
    <row r="217" spans="1:8" hidden="1">
      <c r="A217" s="313">
        <v>627</v>
      </c>
      <c r="B217" s="181" t="s">
        <v>1954</v>
      </c>
      <c r="C217" s="180" t="s">
        <v>2643</v>
      </c>
      <c r="D217" s="180">
        <v>255255255248</v>
      </c>
      <c r="E217" s="180" t="s">
        <v>2644</v>
      </c>
      <c r="F217" s="84">
        <v>46064</v>
      </c>
      <c r="G217" s="8" t="s">
        <v>2383</v>
      </c>
      <c r="H217" s="68"/>
    </row>
    <row r="218" spans="1:8" hidden="1">
      <c r="A218" s="83">
        <v>653</v>
      </c>
      <c r="B218" s="8" t="s">
        <v>2297</v>
      </c>
      <c r="C218" s="8" t="s">
        <v>2645</v>
      </c>
      <c r="D218" s="176">
        <v>255255255252</v>
      </c>
      <c r="E218" s="8" t="s">
        <v>2646</v>
      </c>
      <c r="F218" s="78">
        <v>46064</v>
      </c>
      <c r="G218" s="68" t="s">
        <v>2606</v>
      </c>
      <c r="H218" s="68" t="s">
        <v>2607</v>
      </c>
    </row>
    <row r="219" spans="1:8" hidden="1">
      <c r="A219" s="8">
        <v>646</v>
      </c>
      <c r="B219" s="376" t="s">
        <v>2284</v>
      </c>
      <c r="C219" s="94" t="s">
        <v>2647</v>
      </c>
      <c r="D219" s="515">
        <v>255255255240</v>
      </c>
      <c r="E219" s="94" t="s">
        <v>2648</v>
      </c>
      <c r="F219" s="237">
        <v>46069</v>
      </c>
      <c r="G219" s="8" t="s">
        <v>2383</v>
      </c>
      <c r="H219" s="68"/>
    </row>
    <row r="220" spans="1:8" hidden="1">
      <c r="A220" s="83">
        <v>517</v>
      </c>
      <c r="B220" s="8" t="s">
        <v>2297</v>
      </c>
      <c r="C220" s="176" t="s">
        <v>2649</v>
      </c>
      <c r="D220" s="176">
        <v>255255255252</v>
      </c>
      <c r="E220" s="176" t="s">
        <v>2650</v>
      </c>
      <c r="F220" s="78">
        <v>46072</v>
      </c>
      <c r="G220" s="68" t="s">
        <v>2383</v>
      </c>
      <c r="H220" s="8"/>
    </row>
    <row r="221" spans="1:8" hidden="1">
      <c r="A221" s="8">
        <v>680</v>
      </c>
      <c r="B221" s="16" t="s">
        <v>2284</v>
      </c>
      <c r="C221" s="573">
        <v>200178250162</v>
      </c>
      <c r="D221" s="573">
        <v>255255255240</v>
      </c>
      <c r="E221" s="573">
        <v>200178250161</v>
      </c>
      <c r="F221" s="492">
        <v>46072</v>
      </c>
      <c r="G221" s="8" t="s">
        <v>2383</v>
      </c>
      <c r="H221" s="8"/>
    </row>
    <row r="222" spans="1:8" hidden="1">
      <c r="A222" s="313">
        <v>891</v>
      </c>
      <c r="B222" s="83" t="s">
        <v>2284</v>
      </c>
      <c r="C222" s="8" t="s">
        <v>2651</v>
      </c>
      <c r="D222" s="176">
        <v>255255255240</v>
      </c>
      <c r="E222" s="8" t="s">
        <v>2652</v>
      </c>
      <c r="F222" s="413">
        <v>46077</v>
      </c>
      <c r="G222" s="8" t="s">
        <v>2383</v>
      </c>
      <c r="H222" s="8"/>
    </row>
    <row r="223" spans="1:8" hidden="1">
      <c r="A223" s="17">
        <v>648</v>
      </c>
      <c r="B223" s="17" t="s">
        <v>2287</v>
      </c>
      <c r="C223" s="6" t="s">
        <v>2653</v>
      </c>
      <c r="D223" s="180"/>
      <c r="E223" s="484"/>
      <c r="F223" s="489">
        <v>46077</v>
      </c>
      <c r="G223" s="17" t="s">
        <v>2654</v>
      </c>
      <c r="H223" s="12" t="s">
        <v>2655</v>
      </c>
    </row>
    <row r="224" spans="1:8" hidden="1">
      <c r="A224" s="8">
        <v>780</v>
      </c>
      <c r="B224" s="8" t="s">
        <v>2287</v>
      </c>
      <c r="C224" s="176" t="s">
        <v>2653</v>
      </c>
      <c r="D224" s="176"/>
      <c r="E224" s="176"/>
      <c r="F224" s="78">
        <v>46077</v>
      </c>
      <c r="G224" s="8" t="s">
        <v>2654</v>
      </c>
      <c r="H224" s="7" t="s">
        <v>2656</v>
      </c>
    </row>
    <row r="225" spans="1:8" hidden="1">
      <c r="A225" s="313">
        <v>930</v>
      </c>
      <c r="B225" s="8" t="s">
        <v>2299</v>
      </c>
      <c r="C225" s="8" t="s">
        <v>2384</v>
      </c>
      <c r="D225" s="8" t="s">
        <v>2071</v>
      </c>
      <c r="E225" s="8" t="s">
        <v>2071</v>
      </c>
      <c r="F225" s="78">
        <v>46080</v>
      </c>
      <c r="G225" s="8" t="s">
        <v>2606</v>
      </c>
      <c r="H225" s="8"/>
    </row>
    <row r="226" spans="1:8" hidden="1">
      <c r="A226" s="8">
        <v>711</v>
      </c>
      <c r="B226" s="17" t="s">
        <v>2284</v>
      </c>
      <c r="C226" s="484" t="s">
        <v>2657</v>
      </c>
      <c r="D226" s="180">
        <v>255255255240</v>
      </c>
      <c r="E226" s="484" t="s">
        <v>2658</v>
      </c>
      <c r="F226" s="84">
        <v>46080</v>
      </c>
      <c r="G226" s="8" t="s">
        <v>2383</v>
      </c>
      <c r="H226" s="7"/>
    </row>
    <row r="227" spans="1:8" hidden="1">
      <c r="A227" s="83">
        <v>732</v>
      </c>
      <c r="B227" s="8" t="s">
        <v>2297</v>
      </c>
      <c r="C227" s="176">
        <v>200202194206</v>
      </c>
      <c r="D227" s="176">
        <v>255255255252</v>
      </c>
      <c r="E227" s="176">
        <v>200202194205</v>
      </c>
      <c r="F227" s="78">
        <v>46083</v>
      </c>
      <c r="G227" s="68" t="s">
        <v>2383</v>
      </c>
      <c r="H227" s="7"/>
    </row>
    <row r="228" spans="1:8" hidden="1">
      <c r="A228" s="8">
        <v>80</v>
      </c>
      <c r="B228" s="10" t="s">
        <v>2284</v>
      </c>
      <c r="C228" s="6" t="s">
        <v>2659</v>
      </c>
      <c r="D228" s="573">
        <v>255255255252</v>
      </c>
      <c r="E228" s="6" t="s">
        <v>2660</v>
      </c>
      <c r="F228" s="91">
        <v>46083</v>
      </c>
      <c r="G228" s="8" t="s">
        <v>2383</v>
      </c>
      <c r="H228" s="7"/>
    </row>
    <row r="229" spans="1:8" hidden="1">
      <c r="A229" s="8">
        <v>135</v>
      </c>
      <c r="B229" s="8" t="s">
        <v>1956</v>
      </c>
      <c r="C229" s="8" t="s">
        <v>2661</v>
      </c>
      <c r="D229" s="176">
        <v>255255255252</v>
      </c>
      <c r="E229" s="8" t="s">
        <v>2662</v>
      </c>
      <c r="F229" s="78">
        <v>46087</v>
      </c>
      <c r="G229" s="8" t="s">
        <v>2383</v>
      </c>
      <c r="H229" s="7"/>
    </row>
    <row r="230" spans="1:8" hidden="1">
      <c r="A230" s="8">
        <v>196</v>
      </c>
      <c r="B230" s="17" t="s">
        <v>2299</v>
      </c>
      <c r="C230" s="17" t="s">
        <v>2384</v>
      </c>
      <c r="D230" s="17" t="s">
        <v>2071</v>
      </c>
      <c r="E230" s="17" t="s">
        <v>2071</v>
      </c>
      <c r="F230" s="84">
        <v>46090</v>
      </c>
      <c r="G230" s="8" t="s">
        <v>2372</v>
      </c>
      <c r="H230" s="7"/>
    </row>
    <row r="231" spans="1:8" hidden="1">
      <c r="A231" s="83">
        <v>752</v>
      </c>
      <c r="B231" s="8" t="s">
        <v>2297</v>
      </c>
      <c r="C231" s="8" t="s">
        <v>2663</v>
      </c>
      <c r="D231" s="176">
        <v>255255255252</v>
      </c>
      <c r="E231" s="8" t="s">
        <v>2664</v>
      </c>
      <c r="F231" s="78">
        <v>46091</v>
      </c>
      <c r="G231" s="68" t="s">
        <v>2606</v>
      </c>
      <c r="H231" s="68" t="s">
        <v>2607</v>
      </c>
    </row>
    <row r="232" spans="1:8" hidden="1">
      <c r="A232" s="17">
        <v>847</v>
      </c>
      <c r="B232" s="94" t="s">
        <v>2284</v>
      </c>
      <c r="C232" s="94" t="s">
        <v>2665</v>
      </c>
      <c r="D232" s="515">
        <v>255255255240</v>
      </c>
      <c r="E232" s="94" t="s">
        <v>2666</v>
      </c>
      <c r="F232" s="237">
        <v>46092</v>
      </c>
      <c r="G232" s="17" t="s">
        <v>2383</v>
      </c>
      <c r="H232" s="12"/>
    </row>
    <row r="233" spans="1:8" hidden="1">
      <c r="A233" s="83">
        <v>140</v>
      </c>
      <c r="B233" s="8" t="s">
        <v>2297</v>
      </c>
      <c r="C233" s="8" t="s">
        <v>2667</v>
      </c>
      <c r="D233" s="176">
        <v>255255255252</v>
      </c>
      <c r="E233" s="8" t="s">
        <v>2668</v>
      </c>
      <c r="F233" s="78">
        <v>46093</v>
      </c>
      <c r="G233" s="68" t="s">
        <v>2383</v>
      </c>
      <c r="H233" s="7"/>
    </row>
    <row r="234" spans="1:8" hidden="1">
      <c r="A234" s="8">
        <v>686</v>
      </c>
      <c r="B234" s="94" t="s">
        <v>2286</v>
      </c>
      <c r="C234" s="94" t="s">
        <v>2384</v>
      </c>
      <c r="D234" s="94" t="s">
        <v>2071</v>
      </c>
      <c r="E234" s="94" t="s">
        <v>2071</v>
      </c>
      <c r="F234" s="237">
        <v>46094</v>
      </c>
      <c r="G234" s="8" t="s">
        <v>2383</v>
      </c>
      <c r="H234" s="7"/>
    </row>
    <row r="235" spans="1:8" hidden="1">
      <c r="A235" s="83">
        <v>795</v>
      </c>
      <c r="B235" s="8" t="s">
        <v>2297</v>
      </c>
      <c r="C235" s="8" t="s">
        <v>2669</v>
      </c>
      <c r="D235" s="176">
        <v>255255255252</v>
      </c>
      <c r="E235" s="8" t="s">
        <v>2670</v>
      </c>
      <c r="F235" s="78">
        <v>46097</v>
      </c>
      <c r="G235" s="68" t="s">
        <v>2606</v>
      </c>
      <c r="H235" s="68" t="s">
        <v>2607</v>
      </c>
    </row>
    <row r="236" spans="1:8" hidden="1">
      <c r="A236" s="17">
        <v>527</v>
      </c>
      <c r="B236" s="94" t="s">
        <v>2299</v>
      </c>
      <c r="C236" s="94" t="s">
        <v>2384</v>
      </c>
      <c r="D236" s="94" t="s">
        <v>2071</v>
      </c>
      <c r="E236" s="94" t="s">
        <v>2071</v>
      </c>
      <c r="F236" s="237">
        <v>46098</v>
      </c>
      <c r="G236" s="17" t="s">
        <v>2386</v>
      </c>
      <c r="H236" s="12"/>
    </row>
    <row r="237" spans="1:8" hidden="1">
      <c r="A237" s="83">
        <v>519</v>
      </c>
      <c r="B237" s="8" t="s">
        <v>2297</v>
      </c>
      <c r="C237" s="8" t="s">
        <v>2671</v>
      </c>
      <c r="D237" s="176">
        <v>255255255252</v>
      </c>
      <c r="E237" s="8" t="s">
        <v>2672</v>
      </c>
      <c r="F237" s="78">
        <v>46100</v>
      </c>
      <c r="G237" s="68" t="s">
        <v>2383</v>
      </c>
      <c r="H237" s="8"/>
    </row>
    <row r="238" spans="1:8" hidden="1">
      <c r="A238" s="8">
        <v>525</v>
      </c>
      <c r="B238" s="10" t="s">
        <v>1954</v>
      </c>
      <c r="C238" s="94" t="s">
        <v>2673</v>
      </c>
      <c r="D238" s="807">
        <v>255255255248</v>
      </c>
      <c r="E238" s="10" t="s">
        <v>2674</v>
      </c>
      <c r="F238" s="492">
        <v>46100</v>
      </c>
      <c r="G238" s="8" t="s">
        <v>2383</v>
      </c>
      <c r="H238" s="8"/>
    </row>
    <row r="239" spans="1:8" hidden="1">
      <c r="A239" s="8">
        <v>699</v>
      </c>
      <c r="B239" s="181" t="s">
        <v>2284</v>
      </c>
      <c r="C239" s="17" t="s">
        <v>2675</v>
      </c>
      <c r="D239" s="805">
        <v>255255255240</v>
      </c>
      <c r="E239" s="17" t="s">
        <v>2676</v>
      </c>
      <c r="F239" s="489">
        <v>46101</v>
      </c>
      <c r="G239" s="8" t="s">
        <v>2383</v>
      </c>
      <c r="H239" s="8"/>
    </row>
    <row r="240" spans="1:8" hidden="1">
      <c r="A240" s="83">
        <v>905</v>
      </c>
      <c r="B240" s="8" t="s">
        <v>2297</v>
      </c>
      <c r="C240" s="176" t="s">
        <v>2677</v>
      </c>
      <c r="D240" s="176">
        <v>255255255252</v>
      </c>
      <c r="E240" s="176" t="s">
        <v>2678</v>
      </c>
      <c r="F240" s="78">
        <v>46101</v>
      </c>
      <c r="G240" s="68" t="s">
        <v>2383</v>
      </c>
      <c r="H240" s="8"/>
    </row>
    <row r="241" spans="1:8" hidden="1">
      <c r="A241" s="8">
        <v>849</v>
      </c>
      <c r="B241" s="376" t="s">
        <v>2287</v>
      </c>
      <c r="C241" s="94" t="s">
        <v>2653</v>
      </c>
      <c r="D241" s="6" t="s">
        <v>2071</v>
      </c>
      <c r="E241" s="94" t="s">
        <v>2071</v>
      </c>
      <c r="F241" s="645">
        <v>46101</v>
      </c>
      <c r="G241" s="8" t="s">
        <v>2654</v>
      </c>
      <c r="H241" s="8" t="s">
        <v>2679</v>
      </c>
    </row>
    <row r="242" spans="1:8" hidden="1">
      <c r="A242" s="83">
        <v>594</v>
      </c>
      <c r="B242" s="8" t="s">
        <v>2297</v>
      </c>
      <c r="C242" s="8" t="s">
        <v>2680</v>
      </c>
      <c r="D242" s="176">
        <v>255255255252</v>
      </c>
      <c r="E242" s="8" t="s">
        <v>2681</v>
      </c>
      <c r="F242" s="78">
        <v>46111</v>
      </c>
      <c r="G242" s="68" t="s">
        <v>2383</v>
      </c>
      <c r="H242" s="8"/>
    </row>
    <row r="243" spans="1:8" hidden="1">
      <c r="A243" s="17">
        <v>586</v>
      </c>
      <c r="B243" s="376" t="s">
        <v>2287</v>
      </c>
      <c r="C243" s="10" t="s">
        <v>2653</v>
      </c>
      <c r="D243" s="6" t="s">
        <v>2071</v>
      </c>
      <c r="E243" s="10" t="s">
        <v>2071</v>
      </c>
      <c r="F243" s="390"/>
      <c r="G243" s="17" t="s">
        <v>2372</v>
      </c>
      <c r="H243" s="17" t="s">
        <v>2682</v>
      </c>
    </row>
    <row r="244" spans="1:8" hidden="1">
      <c r="A244" s="313" t="s">
        <v>2593</v>
      </c>
      <c r="B244" s="83" t="s">
        <v>2284</v>
      </c>
      <c r="C244" s="837" t="s">
        <v>2683</v>
      </c>
      <c r="D244" s="806">
        <v>255255255240</v>
      </c>
      <c r="E244" s="176" t="s">
        <v>2684</v>
      </c>
      <c r="F244" s="413">
        <v>46112</v>
      </c>
      <c r="G244" s="8" t="s">
        <v>2317</v>
      </c>
      <c r="H244" s="8"/>
    </row>
    <row r="245" spans="1:8" hidden="1">
      <c r="A245" s="8">
        <v>646</v>
      </c>
      <c r="B245" s="8" t="s">
        <v>2300</v>
      </c>
      <c r="C245" s="10" t="s">
        <v>2384</v>
      </c>
      <c r="D245" s="83" t="s">
        <v>2071</v>
      </c>
      <c r="E245" s="8" t="s">
        <v>2071</v>
      </c>
      <c r="F245" s="413">
        <v>46113</v>
      </c>
      <c r="G245" s="8" t="s">
        <v>2606</v>
      </c>
      <c r="H245" s="8"/>
    </row>
    <row r="246" spans="1:8" hidden="1">
      <c r="A246" s="8">
        <v>709</v>
      </c>
      <c r="B246" s="8" t="s">
        <v>2297</v>
      </c>
      <c r="C246" s="8" t="s">
        <v>2685</v>
      </c>
      <c r="D246" s="806">
        <v>255255255252</v>
      </c>
      <c r="E246" s="8" t="s">
        <v>2686</v>
      </c>
      <c r="F246" s="78">
        <v>46113</v>
      </c>
      <c r="G246" s="8" t="s">
        <v>2383</v>
      </c>
      <c r="H246" s="8"/>
    </row>
    <row r="247" spans="1:8" hidden="1">
      <c r="A247" s="8">
        <v>727</v>
      </c>
      <c r="B247" s="8" t="s">
        <v>2297</v>
      </c>
      <c r="C247" s="8" t="s">
        <v>2687</v>
      </c>
      <c r="D247" s="176">
        <v>255255255248</v>
      </c>
      <c r="E247" s="8" t="s">
        <v>2688</v>
      </c>
      <c r="F247" s="78">
        <v>46118</v>
      </c>
      <c r="G247" s="8" t="s">
        <v>2383</v>
      </c>
      <c r="H247" s="8"/>
    </row>
    <row r="248" spans="1:8" hidden="1">
      <c r="A248" s="8">
        <v>120</v>
      </c>
      <c r="B248" s="8" t="s">
        <v>2297</v>
      </c>
      <c r="C248" s="8" t="s">
        <v>2689</v>
      </c>
      <c r="D248" s="806">
        <v>255255255252</v>
      </c>
      <c r="E248" s="8" t="s">
        <v>2690</v>
      </c>
      <c r="F248" s="78">
        <v>46120</v>
      </c>
      <c r="G248" s="8" t="s">
        <v>2383</v>
      </c>
      <c r="H248" s="8"/>
    </row>
    <row r="249" spans="1:8" hidden="1">
      <c r="A249" s="8">
        <v>876</v>
      </c>
      <c r="B249" s="8" t="s">
        <v>2297</v>
      </c>
      <c r="C249" s="176">
        <v>186247194114</v>
      </c>
      <c r="D249" s="806">
        <v>255255255252</v>
      </c>
      <c r="E249" s="176">
        <v>186247194113</v>
      </c>
      <c r="F249" s="78">
        <v>46120</v>
      </c>
      <c r="G249" s="8" t="s">
        <v>2383</v>
      </c>
      <c r="H249" s="8"/>
    </row>
    <row r="250" spans="1:8" hidden="1">
      <c r="A250" s="17">
        <v>560</v>
      </c>
      <c r="B250" s="17" t="s">
        <v>2297</v>
      </c>
      <c r="C250" s="17" t="s">
        <v>2691</v>
      </c>
      <c r="D250" s="805">
        <v>255255255252</v>
      </c>
      <c r="E250" s="17" t="s">
        <v>2692</v>
      </c>
      <c r="F250" s="84">
        <v>46120</v>
      </c>
      <c r="G250" s="17" t="s">
        <v>2383</v>
      </c>
      <c r="H250" s="17"/>
    </row>
    <row r="251" spans="1:8" hidden="1">
      <c r="A251" s="8">
        <v>618</v>
      </c>
      <c r="B251" s="83" t="s">
        <v>2297</v>
      </c>
      <c r="C251" s="8" t="s">
        <v>2693</v>
      </c>
      <c r="D251" s="176">
        <v>255255255252</v>
      </c>
      <c r="E251" s="8" t="s">
        <v>2694</v>
      </c>
      <c r="F251" s="413">
        <v>46121</v>
      </c>
      <c r="G251" s="17" t="s">
        <v>2383</v>
      </c>
      <c r="H251" s="8"/>
    </row>
    <row r="252" spans="1:8" hidden="1">
      <c r="A252" s="17">
        <v>650</v>
      </c>
      <c r="B252" s="17" t="s">
        <v>2297</v>
      </c>
      <c r="C252" s="94" t="s">
        <v>2695</v>
      </c>
      <c r="D252" s="180">
        <v>255255255252</v>
      </c>
      <c r="E252" s="94" t="s">
        <v>2696</v>
      </c>
      <c r="F252" s="84">
        <v>46122</v>
      </c>
      <c r="G252" s="17" t="s">
        <v>2383</v>
      </c>
      <c r="H252" s="17"/>
    </row>
    <row r="253" spans="1:8" hidden="1">
      <c r="A253" s="8">
        <v>951</v>
      </c>
      <c r="B253" s="8" t="s">
        <v>1954</v>
      </c>
      <c r="C253" s="8" t="s">
        <v>2697</v>
      </c>
      <c r="D253" s="176">
        <v>255255255248</v>
      </c>
      <c r="E253" s="8" t="s">
        <v>2698</v>
      </c>
      <c r="F253" s="78">
        <v>46125</v>
      </c>
      <c r="G253" s="8" t="s">
        <v>2383</v>
      </c>
      <c r="H253" s="8"/>
    </row>
    <row r="254" spans="1:8" hidden="1">
      <c r="A254" s="8">
        <v>606</v>
      </c>
      <c r="B254" s="8" t="s">
        <v>2287</v>
      </c>
      <c r="C254" s="8" t="s">
        <v>2384</v>
      </c>
      <c r="D254" s="8" t="s">
        <v>2071</v>
      </c>
      <c r="E254" s="8" t="s">
        <v>2071</v>
      </c>
      <c r="F254" s="78">
        <v>46136</v>
      </c>
      <c r="G254" s="8" t="s">
        <v>2654</v>
      </c>
      <c r="H254" s="7"/>
    </row>
    <row r="255" spans="1:8" hidden="1">
      <c r="A255" s="8">
        <v>680</v>
      </c>
      <c r="B255" s="8" t="s">
        <v>2297</v>
      </c>
      <c r="C255" s="17" t="s">
        <v>2699</v>
      </c>
      <c r="D255" s="180">
        <v>255255255252</v>
      </c>
      <c r="E255" s="8" t="s">
        <v>2700</v>
      </c>
      <c r="F255" s="78">
        <v>46161</v>
      </c>
      <c r="G255" s="8" t="s">
        <v>2383</v>
      </c>
      <c r="H255" s="7"/>
    </row>
    <row r="256" spans="1:8" hidden="1">
      <c r="A256" s="8">
        <v>754</v>
      </c>
      <c r="B256" s="83" t="s">
        <v>1954</v>
      </c>
      <c r="C256" s="176">
        <v>179184228122</v>
      </c>
      <c r="D256" s="506">
        <v>255255255248</v>
      </c>
      <c r="E256" s="484">
        <v>179184228121</v>
      </c>
      <c r="F256" s="78">
        <v>46174</v>
      </c>
      <c r="G256" s="8" t="s">
        <v>2383</v>
      </c>
      <c r="H256" s="7"/>
    </row>
    <row r="257" spans="1:8" hidden="1">
      <c r="A257" s="17">
        <v>699</v>
      </c>
      <c r="B257" s="181" t="s">
        <v>1954</v>
      </c>
      <c r="C257" s="180" t="s">
        <v>2701</v>
      </c>
      <c r="D257" s="973">
        <v>255255255248</v>
      </c>
      <c r="E257" s="484">
        <v>20122226113</v>
      </c>
      <c r="F257" s="84">
        <v>46174</v>
      </c>
      <c r="G257" s="17" t="s">
        <v>2383</v>
      </c>
      <c r="H257" s="12"/>
    </row>
    <row r="258" spans="1:8" hidden="1">
      <c r="A258" s="8">
        <v>754</v>
      </c>
      <c r="B258" s="181" t="s">
        <v>1954</v>
      </c>
      <c r="C258" s="176">
        <v>179184228122</v>
      </c>
      <c r="D258" s="176">
        <v>255255255248</v>
      </c>
      <c r="E258" s="176">
        <v>179184228121</v>
      </c>
      <c r="F258" s="78">
        <v>46174</v>
      </c>
      <c r="G258" s="17" t="s">
        <v>2383</v>
      </c>
      <c r="H258" s="8"/>
    </row>
    <row r="259" spans="1:8" hidden="1">
      <c r="A259" s="8">
        <v>699</v>
      </c>
      <c r="B259" s="181" t="s">
        <v>1954</v>
      </c>
      <c r="C259" s="8" t="s">
        <v>2701</v>
      </c>
      <c r="D259" s="176">
        <v>255255255248</v>
      </c>
      <c r="E259" s="8" t="s">
        <v>2702</v>
      </c>
      <c r="F259" s="84">
        <v>46174</v>
      </c>
      <c r="G259" s="17" t="s">
        <v>2383</v>
      </c>
      <c r="H259" s="8"/>
    </row>
    <row r="260" spans="1:8" hidden="1">
      <c r="A260" s="8">
        <v>783</v>
      </c>
      <c r="B260" s="181" t="s">
        <v>1954</v>
      </c>
      <c r="C260" s="8" t="s">
        <v>2703</v>
      </c>
      <c r="D260" s="176">
        <v>255255255254</v>
      </c>
      <c r="E260" s="8" t="s">
        <v>2704</v>
      </c>
      <c r="F260" s="78">
        <v>46174</v>
      </c>
      <c r="G260" s="17" t="s">
        <v>2383</v>
      </c>
      <c r="H260" s="8"/>
    </row>
    <row r="261" spans="1:8" hidden="1">
      <c r="A261" s="8">
        <v>884</v>
      </c>
      <c r="B261" s="181" t="s">
        <v>1954</v>
      </c>
      <c r="C261" s="8" t="s">
        <v>2705</v>
      </c>
      <c r="D261" s="176">
        <v>255255255248</v>
      </c>
      <c r="E261" s="8" t="s">
        <v>2706</v>
      </c>
      <c r="F261" s="84">
        <v>46174</v>
      </c>
      <c r="G261" s="17" t="s">
        <v>2383</v>
      </c>
      <c r="H261" s="8"/>
    </row>
    <row r="262" spans="1:8" hidden="1">
      <c r="A262" s="8">
        <v>608</v>
      </c>
      <c r="B262" s="181" t="s">
        <v>1954</v>
      </c>
      <c r="C262" s="8" t="s">
        <v>2707</v>
      </c>
      <c r="D262" s="176">
        <v>255255255254</v>
      </c>
      <c r="E262" s="8" t="s">
        <v>2708</v>
      </c>
      <c r="F262" s="78">
        <v>46174</v>
      </c>
      <c r="G262" s="17" t="s">
        <v>2383</v>
      </c>
      <c r="H262" s="8"/>
    </row>
    <row r="263" spans="1:8" hidden="1">
      <c r="A263" s="8">
        <v>685</v>
      </c>
      <c r="B263" s="181" t="s">
        <v>1954</v>
      </c>
      <c r="C263" s="8" t="s">
        <v>2709</v>
      </c>
      <c r="D263" s="176">
        <v>255255255254</v>
      </c>
      <c r="E263" s="8" t="s">
        <v>2710</v>
      </c>
      <c r="F263" s="84">
        <v>46174</v>
      </c>
      <c r="G263" s="17" t="s">
        <v>2383</v>
      </c>
      <c r="H263" s="8"/>
    </row>
    <row r="264" spans="1:8" hidden="1">
      <c r="A264" s="8">
        <v>698</v>
      </c>
      <c r="B264" s="181" t="s">
        <v>1954</v>
      </c>
      <c r="C264" s="8" t="s">
        <v>2711</v>
      </c>
      <c r="D264" s="176">
        <v>255255255254</v>
      </c>
      <c r="E264" s="8" t="s">
        <v>2712</v>
      </c>
      <c r="F264" s="78">
        <v>46174</v>
      </c>
      <c r="G264" s="17" t="s">
        <v>2383</v>
      </c>
      <c r="H264" s="8"/>
    </row>
    <row r="265" spans="1:8" hidden="1">
      <c r="A265" s="8">
        <v>957</v>
      </c>
      <c r="B265" s="181" t="s">
        <v>1954</v>
      </c>
      <c r="C265" s="8" t="s">
        <v>2713</v>
      </c>
      <c r="D265" s="176">
        <v>255255255248</v>
      </c>
      <c r="E265" s="8" t="s">
        <v>2714</v>
      </c>
      <c r="F265" s="84">
        <v>46174</v>
      </c>
      <c r="G265" s="17" t="s">
        <v>2383</v>
      </c>
      <c r="H265" s="8"/>
    </row>
    <row r="266" spans="1:8" hidden="1">
      <c r="A266" s="8">
        <v>938</v>
      </c>
      <c r="B266" s="181" t="s">
        <v>1954</v>
      </c>
      <c r="C266" s="8" t="s">
        <v>2715</v>
      </c>
      <c r="D266" s="176">
        <v>255255255248</v>
      </c>
      <c r="E266" s="8" t="s">
        <v>2716</v>
      </c>
      <c r="F266" s="78">
        <v>46174</v>
      </c>
      <c r="G266" s="17" t="s">
        <v>2383</v>
      </c>
      <c r="H266" s="8"/>
    </row>
    <row r="267" spans="1:8" hidden="1">
      <c r="A267" s="8">
        <v>936</v>
      </c>
      <c r="B267" s="181" t="s">
        <v>1954</v>
      </c>
      <c r="C267" s="8" t="s">
        <v>2717</v>
      </c>
      <c r="D267" s="176">
        <v>255255255252</v>
      </c>
      <c r="E267" s="8" t="s">
        <v>2718</v>
      </c>
      <c r="F267" s="84">
        <v>46174</v>
      </c>
      <c r="G267" s="17" t="s">
        <v>2383</v>
      </c>
      <c r="H267" s="8"/>
    </row>
    <row r="268" spans="1:8" hidden="1">
      <c r="A268" s="17">
        <v>671</v>
      </c>
      <c r="B268" s="181" t="s">
        <v>1954</v>
      </c>
      <c r="C268" s="17" t="s">
        <v>2719</v>
      </c>
      <c r="D268" s="180">
        <v>255255255248</v>
      </c>
      <c r="E268" s="17" t="s">
        <v>2720</v>
      </c>
      <c r="F268" s="84">
        <v>46174</v>
      </c>
      <c r="G268" s="17" t="s">
        <v>2383</v>
      </c>
      <c r="H268" s="8"/>
    </row>
    <row r="269" spans="1:8" hidden="1">
      <c r="A269" s="17">
        <v>508</v>
      </c>
      <c r="B269" s="181" t="s">
        <v>1954</v>
      </c>
      <c r="C269" s="17" t="s">
        <v>2721</v>
      </c>
      <c r="D269" s="180">
        <v>255255255252</v>
      </c>
      <c r="E269" s="17" t="s">
        <v>2722</v>
      </c>
      <c r="F269" s="84">
        <v>46176</v>
      </c>
      <c r="G269" s="17" t="s">
        <v>2383</v>
      </c>
      <c r="H269" s="69"/>
    </row>
    <row r="270" spans="1:8" hidden="1">
      <c r="A270" s="8">
        <v>925</v>
      </c>
      <c r="B270" s="8" t="s">
        <v>1954</v>
      </c>
      <c r="C270" s="8" t="s">
        <v>2723</v>
      </c>
      <c r="D270" s="176">
        <v>255255255252</v>
      </c>
      <c r="E270" s="8" t="s">
        <v>2724</v>
      </c>
      <c r="F270" s="78">
        <v>46176</v>
      </c>
      <c r="G270" s="8" t="s">
        <v>2383</v>
      </c>
      <c r="H270" s="7"/>
    </row>
    <row r="271" spans="1:8" hidden="1">
      <c r="A271" s="8" t="s">
        <v>2310</v>
      </c>
      <c r="B271" s="8" t="s">
        <v>1954</v>
      </c>
      <c r="C271" s="8" t="s">
        <v>2725</v>
      </c>
      <c r="D271" s="176">
        <v>255255255248</v>
      </c>
      <c r="E271" s="8" t="s">
        <v>2726</v>
      </c>
      <c r="F271" s="78">
        <v>46176</v>
      </c>
      <c r="G271" s="8" t="s">
        <v>2383</v>
      </c>
      <c r="H271" s="7"/>
    </row>
    <row r="272" spans="1:8" hidden="1">
      <c r="A272" s="8">
        <v>610</v>
      </c>
      <c r="B272" s="8" t="s">
        <v>1954</v>
      </c>
      <c r="C272" s="8" t="s">
        <v>2727</v>
      </c>
      <c r="D272" s="176">
        <v>255255255248</v>
      </c>
      <c r="E272" s="8" t="s">
        <v>2728</v>
      </c>
      <c r="F272" s="78">
        <v>46181</v>
      </c>
      <c r="G272" s="8" t="s">
        <v>2383</v>
      </c>
      <c r="H272" s="7"/>
    </row>
    <row r="273" spans="1:8" hidden="1">
      <c r="A273" s="8">
        <v>130</v>
      </c>
      <c r="B273" s="8" t="s">
        <v>1954</v>
      </c>
      <c r="C273" s="176">
        <v>200146120214</v>
      </c>
      <c r="D273" s="176">
        <v>255255255252</v>
      </c>
      <c r="E273" s="176">
        <v>200146120213</v>
      </c>
      <c r="F273" s="78">
        <v>46181</v>
      </c>
      <c r="G273" s="8" t="s">
        <v>2383</v>
      </c>
      <c r="H273" s="7"/>
    </row>
    <row r="274" spans="1:8" hidden="1">
      <c r="A274" s="8">
        <v>895</v>
      </c>
      <c r="B274" s="8" t="s">
        <v>1954</v>
      </c>
      <c r="C274" s="176">
        <v>191251195226</v>
      </c>
      <c r="D274" s="176">
        <v>255255255248</v>
      </c>
      <c r="E274" s="176">
        <v>191251195225</v>
      </c>
      <c r="F274" s="78">
        <v>46182</v>
      </c>
      <c r="G274" s="8" t="s">
        <v>2383</v>
      </c>
      <c r="H274" s="7"/>
    </row>
    <row r="275" spans="1:8" hidden="1">
      <c r="A275" s="17">
        <v>919</v>
      </c>
      <c r="B275" s="17" t="s">
        <v>1954</v>
      </c>
      <c r="C275" s="17" t="s">
        <v>2729</v>
      </c>
      <c r="D275" s="180">
        <v>255255255248</v>
      </c>
      <c r="E275" s="17" t="s">
        <v>2730</v>
      </c>
      <c r="F275" s="84">
        <v>46182</v>
      </c>
      <c r="G275" s="17" t="s">
        <v>2383</v>
      </c>
      <c r="H275" s="12"/>
    </row>
    <row r="276" spans="1:8" hidden="1">
      <c r="A276" s="313">
        <v>578</v>
      </c>
      <c r="B276" s="17" t="s">
        <v>1954</v>
      </c>
      <c r="C276" s="176">
        <v>179162113122</v>
      </c>
      <c r="D276" s="180">
        <v>255255255248</v>
      </c>
      <c r="E276" s="176">
        <v>17916211312</v>
      </c>
      <c r="F276" s="78">
        <v>46192</v>
      </c>
      <c r="G276" s="17" t="s">
        <v>2383</v>
      </c>
      <c r="H276" s="8"/>
    </row>
    <row r="277" spans="1:8" hidden="1">
      <c r="A277" s="8">
        <v>605</v>
      </c>
      <c r="B277" s="17" t="s">
        <v>1954</v>
      </c>
      <c r="C277" s="8" t="s">
        <v>2731</v>
      </c>
      <c r="D277" s="180">
        <v>255255255248</v>
      </c>
      <c r="E277" s="8" t="s">
        <v>2732</v>
      </c>
      <c r="F277" s="78">
        <v>46192</v>
      </c>
      <c r="G277" s="17" t="s">
        <v>2383</v>
      </c>
      <c r="H277" s="8"/>
    </row>
    <row r="278" spans="1:8" hidden="1">
      <c r="A278" s="8">
        <v>663</v>
      </c>
      <c r="B278" s="17" t="s">
        <v>1954</v>
      </c>
      <c r="C278" s="8" t="s">
        <v>2733</v>
      </c>
      <c r="D278" s="180">
        <v>255255255248</v>
      </c>
      <c r="E278" s="8" t="s">
        <v>2734</v>
      </c>
      <c r="F278" s="78">
        <v>46192</v>
      </c>
      <c r="G278" s="17" t="s">
        <v>2383</v>
      </c>
      <c r="H278" s="8"/>
    </row>
    <row r="279" spans="1:8" hidden="1">
      <c r="A279" s="8">
        <v>745</v>
      </c>
      <c r="B279" s="17" t="s">
        <v>1954</v>
      </c>
      <c r="C279" s="8" t="s">
        <v>2735</v>
      </c>
      <c r="D279" s="176">
        <v>255255255252</v>
      </c>
      <c r="E279" s="8" t="s">
        <v>2736</v>
      </c>
      <c r="F279" s="78">
        <v>46192</v>
      </c>
      <c r="G279" s="17" t="s">
        <v>2383</v>
      </c>
      <c r="H279" s="8"/>
    </row>
    <row r="280" spans="1:8" hidden="1">
      <c r="A280" s="8">
        <v>864</v>
      </c>
      <c r="B280" s="17" t="s">
        <v>1954</v>
      </c>
      <c r="C280" s="176">
        <v>179184169146</v>
      </c>
      <c r="D280" s="180">
        <v>255255255248</v>
      </c>
      <c r="E280" s="176">
        <v>179184169145</v>
      </c>
      <c r="F280" s="78">
        <v>46192</v>
      </c>
      <c r="G280" s="17" t="s">
        <v>2383</v>
      </c>
      <c r="H280" s="8"/>
    </row>
    <row r="281" spans="1:8" hidden="1">
      <c r="A281" s="8">
        <v>916</v>
      </c>
      <c r="B281" s="17" t="s">
        <v>1954</v>
      </c>
      <c r="C281" s="176">
        <v>179184228226</v>
      </c>
      <c r="D281" s="180">
        <v>255255255248</v>
      </c>
      <c r="E281" s="176">
        <v>179184228225</v>
      </c>
      <c r="F281" s="78">
        <v>46192</v>
      </c>
      <c r="G281" s="17" t="s">
        <v>2383</v>
      </c>
      <c r="H281" s="8"/>
    </row>
    <row r="282" spans="1:8" hidden="1">
      <c r="A282" s="8">
        <v>643</v>
      </c>
      <c r="B282" s="8" t="s">
        <v>2284</v>
      </c>
      <c r="C282" s="8" t="s">
        <v>2737</v>
      </c>
      <c r="D282" s="176">
        <v>255255255252</v>
      </c>
      <c r="E282" s="8" t="s">
        <v>2738</v>
      </c>
      <c r="F282" s="78">
        <v>46195</v>
      </c>
      <c r="G282" s="17" t="s">
        <v>2383</v>
      </c>
      <c r="H282" s="8"/>
    </row>
    <row r="283" spans="1:8" hidden="1">
      <c r="A283" s="17">
        <v>632</v>
      </c>
      <c r="B283" s="17" t="s">
        <v>1954</v>
      </c>
      <c r="C283" s="484" t="s">
        <v>2739</v>
      </c>
      <c r="D283" s="180">
        <v>255255255252</v>
      </c>
      <c r="E283" s="484" t="s">
        <v>2740</v>
      </c>
      <c r="F283" s="84">
        <v>46198</v>
      </c>
      <c r="G283" s="17" t="s">
        <v>2383</v>
      </c>
      <c r="H283" s="17"/>
    </row>
    <row r="284" spans="1:8" hidden="1">
      <c r="A284" s="8">
        <v>944</v>
      </c>
      <c r="B284" s="17" t="s">
        <v>1954</v>
      </c>
      <c r="C284" s="8" t="s">
        <v>2741</v>
      </c>
      <c r="D284" s="180">
        <v>255255255248</v>
      </c>
      <c r="E284" s="8" t="s">
        <v>2742</v>
      </c>
      <c r="F284" s="84">
        <v>46198</v>
      </c>
      <c r="G284" s="17" t="s">
        <v>2383</v>
      </c>
      <c r="H284" s="8"/>
    </row>
    <row r="285" spans="1:8" hidden="1">
      <c r="A285" s="8">
        <v>566</v>
      </c>
      <c r="B285" s="17" t="s">
        <v>1954</v>
      </c>
      <c r="C285" s="176">
        <v>177207254114</v>
      </c>
      <c r="D285" s="180">
        <v>255255255248</v>
      </c>
      <c r="E285" s="176">
        <v>177207254113</v>
      </c>
      <c r="F285" s="1013">
        <v>46203</v>
      </c>
      <c r="G285" s="17" t="s">
        <v>2383</v>
      </c>
      <c r="H285" s="7"/>
    </row>
    <row r="286" spans="1:8" hidden="1">
      <c r="A286" s="17">
        <v>926</v>
      </c>
      <c r="B286" s="17" t="s">
        <v>1954</v>
      </c>
      <c r="C286" s="17" t="s">
        <v>2743</v>
      </c>
      <c r="D286" s="180">
        <v>255255255252</v>
      </c>
      <c r="E286" s="17" t="s">
        <v>2744</v>
      </c>
      <c r="F286" s="883">
        <v>46203</v>
      </c>
      <c r="G286" s="17" t="s">
        <v>2383</v>
      </c>
      <c r="H286" s="12"/>
    </row>
    <row r="287" spans="1:8" hidden="1">
      <c r="A287" s="8">
        <v>689</v>
      </c>
      <c r="B287" s="8" t="s">
        <v>2284</v>
      </c>
      <c r="C287" s="8" t="s">
        <v>2745</v>
      </c>
      <c r="D287" s="806">
        <v>255255255240</v>
      </c>
      <c r="E287" s="8" t="s">
        <v>2746</v>
      </c>
      <c r="F287" s="78">
        <v>46206</v>
      </c>
      <c r="G287" s="17" t="s">
        <v>2383</v>
      </c>
      <c r="H287" s="8"/>
    </row>
    <row r="288" spans="1:8" hidden="1">
      <c r="A288" s="8">
        <v>534</v>
      </c>
      <c r="B288" s="8" t="s">
        <v>2284</v>
      </c>
      <c r="C288" s="8" t="s">
        <v>2747</v>
      </c>
      <c r="D288" s="806">
        <v>255255255240</v>
      </c>
      <c r="E288" s="8" t="s">
        <v>2748</v>
      </c>
      <c r="F288" s="78">
        <v>46206</v>
      </c>
      <c r="G288" s="17" t="s">
        <v>2383</v>
      </c>
      <c r="H288" s="8"/>
    </row>
    <row r="289" spans="1:8" hidden="1">
      <c r="A289" s="8">
        <v>764</v>
      </c>
      <c r="B289" s="8" t="s">
        <v>2284</v>
      </c>
      <c r="C289" s="176">
        <v>200241230162</v>
      </c>
      <c r="D289" s="806">
        <v>255255255240</v>
      </c>
      <c r="E289" s="176">
        <v>200241230161</v>
      </c>
      <c r="F289" s="78">
        <v>46210</v>
      </c>
      <c r="G289" s="17" t="s">
        <v>2383</v>
      </c>
      <c r="H289" s="8"/>
    </row>
    <row r="290" spans="1:8" hidden="1">
      <c r="A290" s="8">
        <v>681</v>
      </c>
      <c r="B290" s="8" t="s">
        <v>1954</v>
      </c>
      <c r="C290" s="8" t="s">
        <v>2749</v>
      </c>
      <c r="D290" s="180">
        <v>255255255252</v>
      </c>
      <c r="E290" s="8" t="s">
        <v>2750</v>
      </c>
      <c r="F290" s="78">
        <v>46210</v>
      </c>
      <c r="G290" s="17" t="s">
        <v>2383</v>
      </c>
      <c r="H290" s="8"/>
    </row>
    <row r="291" spans="1:8" hidden="1">
      <c r="A291" s="8">
        <v>600</v>
      </c>
      <c r="B291" s="8" t="s">
        <v>2284</v>
      </c>
      <c r="C291" s="8" t="s">
        <v>2751</v>
      </c>
      <c r="D291" s="180">
        <v>255255255252</v>
      </c>
      <c r="E291" s="8" t="s">
        <v>2752</v>
      </c>
      <c r="F291" s="78">
        <v>46211</v>
      </c>
      <c r="G291" s="17" t="s">
        <v>2383</v>
      </c>
      <c r="H291" s="8" t="s">
        <v>2753</v>
      </c>
    </row>
    <row r="292" spans="1:8" hidden="1">
      <c r="A292" s="8">
        <v>677</v>
      </c>
      <c r="B292" s="8" t="s">
        <v>2284</v>
      </c>
      <c r="C292" s="8" t="s">
        <v>2754</v>
      </c>
      <c r="D292" s="806">
        <v>255255255240</v>
      </c>
      <c r="E292" s="8" t="s">
        <v>2755</v>
      </c>
      <c r="F292" s="78">
        <v>46211</v>
      </c>
      <c r="G292" s="17" t="s">
        <v>2383</v>
      </c>
      <c r="H292" s="8"/>
    </row>
    <row r="293" spans="1:8" hidden="1">
      <c r="A293" s="8">
        <v>623</v>
      </c>
      <c r="B293" s="8" t="s">
        <v>2284</v>
      </c>
      <c r="C293" s="8" t="s">
        <v>2756</v>
      </c>
      <c r="D293" s="806">
        <v>255255255240</v>
      </c>
      <c r="E293" s="8" t="s">
        <v>2757</v>
      </c>
      <c r="F293" s="78">
        <v>46211</v>
      </c>
      <c r="G293" s="17" t="s">
        <v>2383</v>
      </c>
      <c r="H293" s="8"/>
    </row>
    <row r="294" spans="1:8" hidden="1">
      <c r="A294" s="8">
        <v>590</v>
      </c>
      <c r="B294" s="8" t="s">
        <v>2284</v>
      </c>
      <c r="C294" s="8" t="s">
        <v>2758</v>
      </c>
      <c r="D294" s="180">
        <v>255255255252</v>
      </c>
      <c r="E294" s="8" t="s">
        <v>2759</v>
      </c>
      <c r="F294" s="78">
        <v>46213</v>
      </c>
      <c r="G294" s="17" t="s">
        <v>2383</v>
      </c>
      <c r="H294" s="8"/>
    </row>
    <row r="295" spans="1:8" hidden="1">
      <c r="A295" s="8" t="s">
        <v>2309</v>
      </c>
      <c r="B295" s="8" t="s">
        <v>2284</v>
      </c>
      <c r="C295" s="8" t="s">
        <v>2760</v>
      </c>
      <c r="D295" s="806">
        <v>255255255240</v>
      </c>
      <c r="E295" s="8" t="s">
        <v>2761</v>
      </c>
      <c r="F295" s="78">
        <v>46218</v>
      </c>
      <c r="G295" s="8" t="s">
        <v>2584</v>
      </c>
      <c r="H295" s="8"/>
    </row>
    <row r="296" spans="1:8" hidden="1">
      <c r="A296" s="8">
        <v>150</v>
      </c>
      <c r="B296" s="8" t="s">
        <v>2285</v>
      </c>
      <c r="C296" s="176">
        <v>177184194214</v>
      </c>
      <c r="D296" s="180">
        <v>255255255252</v>
      </c>
      <c r="E296" s="176">
        <v>177184194213</v>
      </c>
      <c r="F296" s="78">
        <v>46224</v>
      </c>
      <c r="G296" s="8" t="s">
        <v>2584</v>
      </c>
      <c r="H296" s="8"/>
    </row>
    <row r="297" spans="1:8" hidden="1">
      <c r="A297" s="8">
        <v>796</v>
      </c>
      <c r="B297" s="8" t="s">
        <v>1954</v>
      </c>
      <c r="C297" s="8" t="s">
        <v>2762</v>
      </c>
      <c r="D297" s="180">
        <v>255255255248</v>
      </c>
      <c r="E297" s="8" t="s">
        <v>2763</v>
      </c>
      <c r="F297" s="78">
        <v>46225</v>
      </c>
      <c r="G297" s="8" t="s">
        <v>2383</v>
      </c>
      <c r="H297" s="8"/>
    </row>
    <row r="298" spans="1:8" hidden="1">
      <c r="A298" s="17">
        <v>180</v>
      </c>
      <c r="B298" s="17" t="s">
        <v>2764</v>
      </c>
      <c r="C298" s="17" t="s">
        <v>2765</v>
      </c>
      <c r="D298" s="180">
        <v>255255255252</v>
      </c>
      <c r="E298" s="17" t="s">
        <v>2766</v>
      </c>
      <c r="F298" s="84">
        <v>46230</v>
      </c>
      <c r="G298" s="17" t="s">
        <v>2584</v>
      </c>
      <c r="H298" s="17"/>
    </row>
    <row r="299" spans="1:8" hidden="1">
      <c r="A299" s="8">
        <v>571</v>
      </c>
      <c r="B299" s="8" t="s">
        <v>2284</v>
      </c>
      <c r="C299" s="176" t="s">
        <v>2767</v>
      </c>
      <c r="D299" s="176">
        <v>255255255240</v>
      </c>
      <c r="E299" s="176" t="s">
        <v>2768</v>
      </c>
      <c r="F299" s="78">
        <v>46232</v>
      </c>
      <c r="G299" s="8" t="s">
        <v>2383</v>
      </c>
      <c r="H299" s="8"/>
    </row>
    <row r="300" spans="1:8">
      <c r="A300" s="8">
        <v>912</v>
      </c>
      <c r="B300" s="8" t="s">
        <v>2284</v>
      </c>
      <c r="C300" s="8" t="s">
        <v>2769</v>
      </c>
      <c r="D300" s="176">
        <v>255255255240</v>
      </c>
      <c r="E300" s="8" t="s">
        <v>2770</v>
      </c>
      <c r="F300" s="78">
        <v>46244</v>
      </c>
      <c r="G300" s="8" t="s">
        <v>2383</v>
      </c>
      <c r="H300" s="8"/>
    </row>
  </sheetData>
  <sheetProtection algorithmName="SHA-512" hashValue="YvpF4jVtdk+sBR9hc1SBuwCOdq4Zg2PKzmmUzY28RITltqohyaN50m39iwkEQx2aO22x3AegqLZF2dW9eACeqw==" saltValue="QwjpUAkE5nEoF/bkSYgrkg==" spinCount="100000" sheet="1" objects="1" scenarios="1"/>
  <autoFilter ref="A2:H299" xr:uid="{BB2CE9C7-955C-443F-B95D-660C73865607}">
    <filterColumn colId="0">
      <filters>
        <filter val="579"/>
      </filters>
    </filterColumn>
  </autoFilter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1313-8F28-4D19-8716-25ACBD2742D7}">
  <dimension ref="A1:AF34"/>
  <sheetViews>
    <sheetView topLeftCell="C1" workbookViewId="0">
      <selection activeCell="G7" sqref="G7"/>
    </sheetView>
  </sheetViews>
  <sheetFormatPr defaultRowHeight="15"/>
  <cols>
    <col min="1" max="1" width="12.5703125" bestFit="1" customWidth="1"/>
    <col min="2" max="2" width="13.42578125" bestFit="1" customWidth="1"/>
    <col min="3" max="3" width="16.140625" bestFit="1" customWidth="1"/>
    <col min="4" max="4" width="14" bestFit="1" customWidth="1"/>
    <col min="5" max="5" width="15.28515625" bestFit="1" customWidth="1"/>
    <col min="6" max="6" width="24.28515625" customWidth="1"/>
    <col min="7" max="7" width="19" bestFit="1" customWidth="1"/>
    <col min="8" max="8" width="9.42578125" customWidth="1"/>
    <col min="10" max="10" width="12.42578125" bestFit="1" customWidth="1"/>
    <col min="11" max="11" width="12" bestFit="1" customWidth="1"/>
    <col min="12" max="12" width="13.42578125" bestFit="1" customWidth="1"/>
    <col min="13" max="13" width="11.28515625" customWidth="1"/>
    <col min="14" max="14" width="18.7109375" customWidth="1"/>
    <col min="15" max="15" width="6.7109375" bestFit="1" customWidth="1"/>
    <col min="17" max="17" width="12.42578125" bestFit="1" customWidth="1"/>
    <col min="18" max="18" width="10.5703125" bestFit="1" customWidth="1"/>
    <col min="19" max="19" width="10.85546875" bestFit="1" customWidth="1"/>
    <col min="21" max="21" width="10.140625" customWidth="1"/>
    <col min="22" max="22" width="12.42578125" bestFit="1" customWidth="1"/>
    <col min="23" max="23" width="19.140625" bestFit="1" customWidth="1"/>
    <col min="24" max="24" width="12.7109375" bestFit="1" customWidth="1"/>
    <col min="25" max="25" width="18.140625" bestFit="1" customWidth="1"/>
    <col min="27" max="28" width="11.42578125" bestFit="1" customWidth="1"/>
    <col min="29" max="29" width="13.7109375" customWidth="1"/>
    <col min="32" max="32" width="11.42578125" bestFit="1" customWidth="1"/>
  </cols>
  <sheetData>
    <row r="1" spans="1:32">
      <c r="A1" s="725" t="s">
        <v>2771</v>
      </c>
      <c r="B1" s="318" t="s">
        <v>1373</v>
      </c>
      <c r="C1" s="726" t="s">
        <v>41</v>
      </c>
      <c r="D1" s="726" t="s">
        <v>2378</v>
      </c>
      <c r="E1" s="726" t="s">
        <v>2380</v>
      </c>
      <c r="F1" s="726" t="s">
        <v>1942</v>
      </c>
      <c r="G1" s="726" t="s">
        <v>2772</v>
      </c>
      <c r="H1" s="726" t="s">
        <v>2773</v>
      </c>
      <c r="I1" s="726" t="s">
        <v>35</v>
      </c>
      <c r="J1" s="726" t="s">
        <v>2774</v>
      </c>
      <c r="K1" s="1032" t="s">
        <v>1943</v>
      </c>
      <c r="L1" s="1032" t="s">
        <v>2380</v>
      </c>
      <c r="M1" s="1032" t="s">
        <v>1942</v>
      </c>
      <c r="N1" s="1033" t="s">
        <v>2772</v>
      </c>
      <c r="O1" s="1033" t="s">
        <v>2773</v>
      </c>
      <c r="P1" s="1033" t="s">
        <v>35</v>
      </c>
      <c r="Q1" s="1032" t="s">
        <v>2774</v>
      </c>
      <c r="R1" s="1033" t="s">
        <v>2775</v>
      </c>
      <c r="S1" s="1033" t="s">
        <v>17</v>
      </c>
      <c r="T1" s="1033" t="s">
        <v>3</v>
      </c>
      <c r="U1" s="1033" t="s">
        <v>2776</v>
      </c>
      <c r="V1" s="1033" t="s">
        <v>15</v>
      </c>
      <c r="W1" s="1034" t="s">
        <v>2777</v>
      </c>
      <c r="X1" s="1035" t="s">
        <v>2778</v>
      </c>
      <c r="Y1" s="1032" t="s">
        <v>2361</v>
      </c>
      <c r="Z1" s="1032" t="s">
        <v>1944</v>
      </c>
      <c r="AA1" s="1032" t="s">
        <v>2380</v>
      </c>
      <c r="AB1" s="1032" t="s">
        <v>1942</v>
      </c>
      <c r="AC1" s="1033" t="s">
        <v>2772</v>
      </c>
      <c r="AD1" s="1033" t="s">
        <v>2773</v>
      </c>
      <c r="AE1" s="1033" t="s">
        <v>35</v>
      </c>
      <c r="AF1" s="1032" t="s">
        <v>2774</v>
      </c>
    </row>
    <row r="2" spans="1:32">
      <c r="A2" s="1018" t="s">
        <v>2310</v>
      </c>
      <c r="B2" s="1018" t="s">
        <v>159</v>
      </c>
      <c r="C2" s="1018" t="s">
        <v>158</v>
      </c>
      <c r="D2" s="1019" t="s">
        <v>1956</v>
      </c>
      <c r="E2" s="1020">
        <v>44617</v>
      </c>
      <c r="F2" s="1021" t="s">
        <v>1968</v>
      </c>
      <c r="G2" s="731" t="s">
        <v>1988</v>
      </c>
      <c r="H2" s="1016" t="s">
        <v>2334</v>
      </c>
      <c r="I2" s="1016" t="s">
        <v>1951</v>
      </c>
      <c r="J2" s="1037">
        <v>470.62</v>
      </c>
      <c r="K2" s="1016" t="s">
        <v>1954</v>
      </c>
      <c r="L2" s="730">
        <v>46176</v>
      </c>
      <c r="M2" s="1036">
        <v>47272</v>
      </c>
      <c r="N2" s="1028" t="s">
        <v>2779</v>
      </c>
      <c r="O2" s="1016" t="s">
        <v>2333</v>
      </c>
      <c r="P2" s="1016" t="s">
        <v>1951</v>
      </c>
      <c r="Q2" s="1037">
        <v>380</v>
      </c>
      <c r="R2" s="1038"/>
      <c r="S2" s="1039"/>
      <c r="T2" s="1038"/>
      <c r="U2" s="1038" t="s">
        <v>2780</v>
      </c>
      <c r="V2" s="1039">
        <f>SUM(J2+Q2)</f>
        <v>850.62</v>
      </c>
      <c r="W2" s="1038"/>
      <c r="X2" s="1040">
        <v>46161</v>
      </c>
      <c r="Y2" s="1038"/>
      <c r="Z2" s="1038"/>
      <c r="AA2" s="1038"/>
      <c r="AB2" s="1038"/>
      <c r="AC2" s="1038"/>
      <c r="AD2" s="1038"/>
      <c r="AE2" s="1038"/>
      <c r="AF2" s="1038"/>
    </row>
    <row r="3" spans="1:32">
      <c r="A3" s="1018" t="s">
        <v>2309</v>
      </c>
      <c r="B3" s="1018" t="s">
        <v>88</v>
      </c>
      <c r="C3" s="1022" t="s">
        <v>2781</v>
      </c>
      <c r="D3" s="1018" t="s">
        <v>1956</v>
      </c>
      <c r="E3" s="1023">
        <v>44596</v>
      </c>
      <c r="F3" s="1024" t="s">
        <v>1968</v>
      </c>
      <c r="G3" s="728" t="s">
        <v>1982</v>
      </c>
      <c r="H3" s="1015" t="s">
        <v>2333</v>
      </c>
      <c r="I3" s="1015" t="s">
        <v>1951</v>
      </c>
      <c r="J3" s="1052">
        <v>1024.5</v>
      </c>
      <c r="K3" s="1015" t="s">
        <v>2284</v>
      </c>
      <c r="L3" s="727">
        <v>46218</v>
      </c>
      <c r="M3" s="1055">
        <v>47314</v>
      </c>
      <c r="N3" s="728" t="s">
        <v>1983</v>
      </c>
      <c r="O3" s="1041" t="s">
        <v>2336</v>
      </c>
      <c r="P3" s="1015" t="s">
        <v>1951</v>
      </c>
      <c r="Q3" s="1042">
        <v>962</v>
      </c>
      <c r="R3" s="1038"/>
      <c r="S3" s="1039"/>
      <c r="T3" s="1038"/>
      <c r="U3" s="1038"/>
      <c r="V3" s="1039">
        <f t="shared" ref="V3:V5" si="0">SUM(J3+Q3)</f>
        <v>1986.5</v>
      </c>
      <c r="W3" s="1038"/>
      <c r="X3" s="1040">
        <v>46161</v>
      </c>
      <c r="Y3" s="1038"/>
      <c r="Z3" s="1038"/>
      <c r="AA3" s="1038"/>
      <c r="AB3" s="1038"/>
      <c r="AC3" s="1038"/>
      <c r="AD3" s="1038"/>
      <c r="AE3" s="1038"/>
      <c r="AF3" s="1038"/>
    </row>
    <row r="4" spans="1:32">
      <c r="A4" s="1018" t="s">
        <v>2311</v>
      </c>
      <c r="B4" s="1018" t="s">
        <v>88</v>
      </c>
      <c r="C4" s="1022" t="s">
        <v>2782</v>
      </c>
      <c r="D4" s="1019" t="s">
        <v>1956</v>
      </c>
      <c r="E4" s="1020">
        <v>44589</v>
      </c>
      <c r="F4" s="1021" t="s">
        <v>1968</v>
      </c>
      <c r="G4" s="731" t="s">
        <v>1992</v>
      </c>
      <c r="H4" s="1016" t="s">
        <v>2333</v>
      </c>
      <c r="I4" s="1016" t="s">
        <v>1951</v>
      </c>
      <c r="J4" s="1053">
        <v>590.69000000000005</v>
      </c>
      <c r="K4" s="1016" t="s">
        <v>2323</v>
      </c>
      <c r="L4" s="730">
        <v>44735</v>
      </c>
      <c r="M4" s="1017" t="s">
        <v>1968</v>
      </c>
      <c r="N4" s="728" t="s">
        <v>1994</v>
      </c>
      <c r="O4" s="1043" t="s">
        <v>2333</v>
      </c>
      <c r="P4" s="1016" t="s">
        <v>1951</v>
      </c>
      <c r="Q4" s="1044">
        <v>997.79</v>
      </c>
      <c r="R4" s="1038"/>
      <c r="S4" s="1039"/>
      <c r="T4" s="1038"/>
      <c r="U4" s="1038"/>
      <c r="V4" s="1039">
        <f t="shared" si="0"/>
        <v>1588.48</v>
      </c>
      <c r="W4" s="1038"/>
      <c r="X4" s="1040">
        <v>46161</v>
      </c>
      <c r="Y4" s="1038"/>
      <c r="Z4" s="1038"/>
      <c r="AA4" s="1038"/>
      <c r="AB4" s="1038"/>
      <c r="AC4" s="1038"/>
      <c r="AD4" s="1038"/>
      <c r="AE4" s="1038"/>
      <c r="AF4" s="1038"/>
    </row>
    <row r="5" spans="1:32">
      <c r="A5" s="1019" t="s">
        <v>2308</v>
      </c>
      <c r="B5" s="1019" t="s">
        <v>58</v>
      </c>
      <c r="C5" s="1025" t="s">
        <v>722</v>
      </c>
      <c r="D5" s="1019" t="s">
        <v>1954</v>
      </c>
      <c r="E5" s="1020">
        <v>45338</v>
      </c>
      <c r="F5" s="1020">
        <v>46434</v>
      </c>
      <c r="G5" s="1028" t="s">
        <v>2783</v>
      </c>
      <c r="H5" s="731" t="s">
        <v>1973</v>
      </c>
      <c r="I5" s="1017" t="s">
        <v>1951</v>
      </c>
      <c r="J5" s="1053">
        <v>1910.03</v>
      </c>
      <c r="K5" s="1043" t="s">
        <v>2285</v>
      </c>
      <c r="L5" s="730">
        <v>45609</v>
      </c>
      <c r="M5" s="1029">
        <v>46704</v>
      </c>
      <c r="N5" s="1045" t="s">
        <v>2784</v>
      </c>
      <c r="O5" s="1046" t="s">
        <v>2785</v>
      </c>
      <c r="P5" s="1016" t="s">
        <v>1951</v>
      </c>
      <c r="Q5" s="1044">
        <v>430</v>
      </c>
      <c r="R5" s="1038"/>
      <c r="S5" s="1039"/>
      <c r="T5" s="1038"/>
      <c r="U5" s="1038" t="s">
        <v>2786</v>
      </c>
      <c r="V5" s="1039">
        <f t="shared" si="0"/>
        <v>2340.0299999999997</v>
      </c>
      <c r="W5" s="1038"/>
      <c r="X5" s="1040">
        <v>46161</v>
      </c>
      <c r="Y5" s="1038"/>
      <c r="Z5" s="1038"/>
      <c r="AA5" s="1047"/>
      <c r="AB5" s="1047"/>
      <c r="AC5" s="1047"/>
      <c r="AD5" s="1047"/>
      <c r="AE5" s="1047"/>
      <c r="AF5" s="1047"/>
    </row>
    <row r="6" spans="1:32">
      <c r="A6" s="1019" t="s">
        <v>1949</v>
      </c>
      <c r="B6" s="1019" t="s">
        <v>58</v>
      </c>
      <c r="C6" s="1019" t="s">
        <v>95</v>
      </c>
      <c r="D6" s="1019" t="s">
        <v>2286</v>
      </c>
      <c r="E6" s="1026">
        <v>46010</v>
      </c>
      <c r="F6" s="1026">
        <v>47106</v>
      </c>
      <c r="G6" s="1051">
        <v>11020625</v>
      </c>
      <c r="H6" s="1016" t="s">
        <v>2317</v>
      </c>
      <c r="I6" s="1016" t="s">
        <v>1951</v>
      </c>
      <c r="J6" s="1054">
        <v>2750</v>
      </c>
      <c r="K6" s="1016" t="s">
        <v>1954</v>
      </c>
      <c r="L6" s="1036">
        <v>46024</v>
      </c>
      <c r="M6" s="1048">
        <v>47120</v>
      </c>
      <c r="N6" s="1028" t="s">
        <v>2787</v>
      </c>
      <c r="O6" s="1043" t="s">
        <v>2317</v>
      </c>
      <c r="P6" s="1016" t="s">
        <v>1951</v>
      </c>
      <c r="Q6" s="1037">
        <v>3400</v>
      </c>
      <c r="R6" s="1016"/>
      <c r="S6" s="1016"/>
      <c r="T6" s="1016"/>
      <c r="U6" s="1016"/>
      <c r="V6" s="1049">
        <f>SUM(J6+Q6+AF6)</f>
        <v>9064.2999999999993</v>
      </c>
      <c r="W6" s="1047"/>
      <c r="X6" s="1040">
        <v>46161</v>
      </c>
      <c r="Y6" s="1047"/>
      <c r="Z6" s="1017" t="s">
        <v>2284</v>
      </c>
      <c r="AA6" s="1036">
        <v>46112</v>
      </c>
      <c r="AB6" s="1036">
        <v>47208</v>
      </c>
      <c r="AC6" s="731" t="s">
        <v>1953</v>
      </c>
      <c r="AD6" s="1016" t="s">
        <v>2317</v>
      </c>
      <c r="AE6" s="1016" t="s">
        <v>1951</v>
      </c>
      <c r="AF6" s="1050">
        <v>2914.3</v>
      </c>
    </row>
    <row r="7" spans="1:32">
      <c r="A7" s="1018" t="s">
        <v>2307</v>
      </c>
      <c r="B7" s="1018" t="s">
        <v>58</v>
      </c>
      <c r="C7" s="1018" t="s">
        <v>95</v>
      </c>
      <c r="D7" s="1018" t="s">
        <v>1954</v>
      </c>
      <c r="E7" s="1027">
        <v>45568</v>
      </c>
      <c r="F7" s="1027">
        <v>46663</v>
      </c>
      <c r="G7" s="1030">
        <v>110005641701194</v>
      </c>
      <c r="H7" s="1015" t="s">
        <v>2317</v>
      </c>
      <c r="I7" s="1015" t="s">
        <v>1951</v>
      </c>
      <c r="J7" s="1031">
        <v>4110.16</v>
      </c>
      <c r="K7" s="1038"/>
      <c r="L7" s="1038"/>
      <c r="M7" s="1038"/>
      <c r="N7" s="1038"/>
      <c r="O7" s="1038"/>
      <c r="P7" s="1038"/>
      <c r="Q7" s="1038"/>
      <c r="R7" s="1038"/>
      <c r="S7" s="1038"/>
      <c r="T7" s="1038"/>
      <c r="U7" s="1038"/>
      <c r="V7" s="1038"/>
      <c r="W7" s="1038"/>
      <c r="X7" s="1040">
        <v>46161</v>
      </c>
      <c r="Y7" s="1038"/>
      <c r="Z7" s="1038"/>
      <c r="AA7" s="1038"/>
      <c r="AB7" s="1038"/>
      <c r="AC7" s="1038"/>
      <c r="AD7" s="1038"/>
      <c r="AE7" s="1038"/>
      <c r="AF7" s="1038"/>
    </row>
    <row r="8" spans="1:32">
      <c r="K8" s="611"/>
    </row>
    <row r="9" spans="1:32">
      <c r="A9" s="8"/>
      <c r="B9" s="175" t="s">
        <v>1949</v>
      </c>
      <c r="C9" s="175" t="s">
        <v>2310</v>
      </c>
      <c r="D9" s="175" t="s">
        <v>2309</v>
      </c>
      <c r="E9" s="175" t="s">
        <v>2311</v>
      </c>
      <c r="F9" s="175" t="s">
        <v>2308</v>
      </c>
      <c r="G9" s="5"/>
      <c r="J9" s="118"/>
      <c r="N9" s="980"/>
    </row>
    <row r="10" spans="1:32">
      <c r="A10" s="8" t="s">
        <v>2788</v>
      </c>
      <c r="B10" s="8" t="s">
        <v>2789</v>
      </c>
      <c r="C10" s="8" t="s">
        <v>2790</v>
      </c>
      <c r="D10" s="8" t="s">
        <v>2791</v>
      </c>
      <c r="E10" s="8" t="s">
        <v>2792</v>
      </c>
      <c r="F10" s="8" t="s">
        <v>2793</v>
      </c>
      <c r="J10" s="118"/>
    </row>
    <row r="11" spans="1:32">
      <c r="A11" s="4" t="s">
        <v>2794</v>
      </c>
      <c r="B11" s="8" t="s">
        <v>2795</v>
      </c>
      <c r="C11" s="8" t="s">
        <v>2796</v>
      </c>
      <c r="D11" s="8" t="s">
        <v>2797</v>
      </c>
      <c r="E11" s="8" t="s">
        <v>2798</v>
      </c>
      <c r="F11" s="8" t="s">
        <v>2799</v>
      </c>
      <c r="J11" s="118"/>
    </row>
    <row r="12" spans="1:32">
      <c r="A12" s="4" t="s">
        <v>2800</v>
      </c>
      <c r="B12" s="8" t="s">
        <v>2801</v>
      </c>
      <c r="C12" s="8" t="s">
        <v>2802</v>
      </c>
      <c r="D12" s="8" t="s">
        <v>2803</v>
      </c>
      <c r="E12" s="8" t="s">
        <v>2804</v>
      </c>
      <c r="F12" s="8" t="s">
        <v>2805</v>
      </c>
      <c r="J12" s="612"/>
    </row>
    <row r="13" spans="1:32">
      <c r="A13" s="4" t="s">
        <v>2806</v>
      </c>
      <c r="B13" s="8"/>
      <c r="C13" s="8"/>
      <c r="D13" s="8"/>
      <c r="E13" s="8"/>
      <c r="F13" s="8" t="s">
        <v>2807</v>
      </c>
      <c r="J13" s="612"/>
    </row>
    <row r="14" spans="1:32">
      <c r="A14" s="4" t="s">
        <v>2808</v>
      </c>
      <c r="B14" s="8"/>
      <c r="C14" s="8"/>
      <c r="D14" s="8"/>
      <c r="E14" s="8"/>
      <c r="F14" s="8" t="s">
        <v>2809</v>
      </c>
      <c r="J14" s="119"/>
    </row>
    <row r="15" spans="1:32">
      <c r="A15" s="4" t="s">
        <v>2810</v>
      </c>
      <c r="B15" s="8"/>
      <c r="C15" s="8"/>
      <c r="D15" s="8"/>
      <c r="E15" s="8"/>
      <c r="F15" s="8" t="s">
        <v>2811</v>
      </c>
      <c r="J15" s="613"/>
    </row>
    <row r="16" spans="1:32">
      <c r="A16" s="4" t="s">
        <v>2812</v>
      </c>
      <c r="B16" s="8"/>
      <c r="C16" s="8"/>
      <c r="D16" s="8"/>
      <c r="E16" s="8"/>
      <c r="F16" s="8" t="s">
        <v>2813</v>
      </c>
    </row>
    <row r="17" spans="1:6">
      <c r="A17" s="4" t="s">
        <v>2814</v>
      </c>
      <c r="B17" s="8"/>
      <c r="C17" s="8"/>
      <c r="D17" s="8"/>
      <c r="E17" s="8"/>
      <c r="F17" s="8" t="s">
        <v>2815</v>
      </c>
    </row>
    <row r="18" spans="1:6">
      <c r="A18" s="4" t="s">
        <v>2816</v>
      </c>
      <c r="B18" s="8"/>
      <c r="C18" s="8"/>
      <c r="D18" s="8"/>
      <c r="E18" s="8"/>
      <c r="F18" s="8" t="s">
        <v>2817</v>
      </c>
    </row>
    <row r="19" spans="1:6">
      <c r="A19" s="4" t="s">
        <v>2818</v>
      </c>
      <c r="B19" s="8"/>
      <c r="C19" s="8"/>
      <c r="D19" s="8"/>
      <c r="E19" s="8"/>
      <c r="F19" s="8" t="s">
        <v>2819</v>
      </c>
    </row>
    <row r="20" spans="1:6">
      <c r="A20" s="4" t="s">
        <v>2820</v>
      </c>
      <c r="B20" s="8"/>
      <c r="C20" s="8"/>
      <c r="D20" s="8"/>
      <c r="E20" s="8"/>
      <c r="F20" s="8" t="s">
        <v>2821</v>
      </c>
    </row>
    <row r="21" spans="1:6">
      <c r="A21" s="4" t="s">
        <v>2822</v>
      </c>
      <c r="B21" s="8"/>
      <c r="C21" s="8"/>
      <c r="D21" s="8"/>
      <c r="E21" s="8"/>
      <c r="F21" s="8" t="s">
        <v>2823</v>
      </c>
    </row>
    <row r="22" spans="1:6">
      <c r="A22" s="4" t="s">
        <v>2824</v>
      </c>
      <c r="B22" s="8"/>
      <c r="C22" s="8"/>
      <c r="D22" s="8"/>
      <c r="E22" s="8"/>
      <c r="F22" s="8" t="s">
        <v>2825</v>
      </c>
    </row>
    <row r="23" spans="1:6">
      <c r="A23" s="4" t="s">
        <v>2826</v>
      </c>
      <c r="B23" s="8"/>
      <c r="C23" s="8"/>
      <c r="D23" s="8"/>
      <c r="E23" s="8"/>
      <c r="F23" s="8" t="s">
        <v>2827</v>
      </c>
    </row>
    <row r="24" spans="1:6">
      <c r="A24" s="4" t="s">
        <v>2828</v>
      </c>
      <c r="B24" s="8"/>
      <c r="C24" s="8"/>
      <c r="D24" s="8"/>
      <c r="E24" s="8"/>
      <c r="F24" s="8" t="s">
        <v>2829</v>
      </c>
    </row>
    <row r="25" spans="1:6">
      <c r="A25" s="4" t="s">
        <v>2830</v>
      </c>
      <c r="B25" s="8"/>
      <c r="C25" s="8"/>
      <c r="D25" s="8"/>
      <c r="E25" s="8"/>
      <c r="F25" s="8" t="s">
        <v>2831</v>
      </c>
    </row>
    <row r="26" spans="1:6">
      <c r="A26" s="4" t="s">
        <v>2832</v>
      </c>
      <c r="B26" s="8"/>
      <c r="C26" s="8"/>
      <c r="D26" s="8"/>
      <c r="E26" s="8"/>
      <c r="F26" s="8" t="s">
        <v>2833</v>
      </c>
    </row>
    <row r="27" spans="1:6">
      <c r="A27" s="4" t="s">
        <v>2834</v>
      </c>
      <c r="B27" s="8"/>
      <c r="C27" s="8"/>
      <c r="D27" s="8"/>
      <c r="E27" s="8"/>
      <c r="F27" s="8" t="s">
        <v>2835</v>
      </c>
    </row>
    <row r="28" spans="1:6">
      <c r="A28" s="82" t="s">
        <v>2836</v>
      </c>
      <c r="B28" s="17"/>
      <c r="C28" s="17"/>
      <c r="D28" s="17"/>
      <c r="E28" s="17"/>
      <c r="F28" s="8" t="s">
        <v>2837</v>
      </c>
    </row>
    <row r="29" spans="1:6">
      <c r="A29" s="82" t="s">
        <v>2838</v>
      </c>
      <c r="B29" s="7"/>
      <c r="C29" s="7"/>
      <c r="D29" s="7"/>
      <c r="E29" s="7"/>
      <c r="F29" s="68" t="s">
        <v>2839</v>
      </c>
    </row>
    <row r="30" spans="1:6">
      <c r="A30" s="82" t="s">
        <v>2840</v>
      </c>
      <c r="B30" s="7"/>
      <c r="C30" s="7"/>
      <c r="D30" s="7"/>
      <c r="E30" s="7"/>
      <c r="F30" s="68" t="s">
        <v>2841</v>
      </c>
    </row>
    <row r="31" spans="1:6">
      <c r="A31" s="82" t="s">
        <v>2842</v>
      </c>
      <c r="B31" s="7"/>
      <c r="C31" s="7"/>
      <c r="D31" s="7"/>
      <c r="E31" s="7"/>
      <c r="F31" s="68" t="s">
        <v>2843</v>
      </c>
    </row>
    <row r="32" spans="1:6">
      <c r="A32" s="815" t="s">
        <v>2844</v>
      </c>
      <c r="B32" s="7"/>
      <c r="C32" s="7"/>
      <c r="D32" s="7"/>
      <c r="E32" s="7"/>
      <c r="F32" s="68" t="s">
        <v>2845</v>
      </c>
    </row>
    <row r="33" spans="1:6">
      <c r="A33" s="4" t="s">
        <v>2846</v>
      </c>
      <c r="B33" s="65"/>
      <c r="C33" s="7"/>
      <c r="D33" s="7"/>
      <c r="E33" s="7"/>
      <c r="F33" s="68" t="s">
        <v>2847</v>
      </c>
    </row>
    <row r="34" spans="1:6">
      <c r="A34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2DD4-9736-4032-A94E-7356A7780F28}">
  <dimension ref="A1:AL236"/>
  <sheetViews>
    <sheetView workbookViewId="0">
      <pane xSplit="1" topLeftCell="B1" activePane="topRight" state="frozen"/>
      <selection pane="topRight" activeCell="I218" sqref="I218"/>
    </sheetView>
  </sheetViews>
  <sheetFormatPr defaultRowHeight="15" customHeight="1"/>
  <cols>
    <col min="1" max="1" width="7.140625" style="324" customWidth="1"/>
    <col min="2" max="2" width="6.140625" style="324" customWidth="1"/>
    <col min="3" max="3" width="18.85546875" customWidth="1"/>
    <col min="4" max="4" width="14.42578125" customWidth="1"/>
    <col min="5" max="5" width="19.140625" customWidth="1"/>
    <col min="6" max="6" width="14.140625" customWidth="1"/>
    <col min="7" max="7" width="11.7109375" customWidth="1"/>
    <col min="8" max="8" width="16.7109375" customWidth="1"/>
    <col min="9" max="9" width="12.85546875" customWidth="1"/>
    <col min="10" max="10" width="9.42578125" bestFit="1" customWidth="1"/>
    <col min="11" max="11" width="12.140625" style="6" customWidth="1"/>
    <col min="12" max="12" width="15.42578125" customWidth="1"/>
    <col min="13" max="13" width="13" customWidth="1"/>
    <col min="14" max="14" width="13.28515625" bestFit="1" customWidth="1"/>
    <col min="15" max="15" width="12.140625" bestFit="1" customWidth="1"/>
    <col min="16" max="16" width="23.42578125" style="6" customWidth="1"/>
    <col min="17" max="17" width="6.85546875" bestFit="1" customWidth="1"/>
    <col min="18" max="18" width="13.5703125" bestFit="1" customWidth="1"/>
    <col min="19" max="19" width="12.42578125" style="6" bestFit="1" customWidth="1"/>
    <col min="20" max="20" width="44.85546875" customWidth="1"/>
    <col min="21" max="22" width="12.85546875" customWidth="1"/>
    <col min="23" max="23" width="16.28515625" customWidth="1"/>
    <col min="24" max="24" width="12.85546875" customWidth="1"/>
    <col min="25" max="25" width="9.7109375" bestFit="1" customWidth="1"/>
    <col min="26" max="26" width="14.140625" bestFit="1" customWidth="1"/>
    <col min="27" max="27" width="11" customWidth="1"/>
    <col min="28" max="28" width="12.7109375" bestFit="1" customWidth="1"/>
    <col min="29" max="29" width="13.5703125" bestFit="1" customWidth="1"/>
    <col min="30" max="30" width="18.42578125" bestFit="1" customWidth="1"/>
    <col min="31" max="31" width="16.42578125" customWidth="1"/>
    <col min="32" max="32" width="18.7109375" bestFit="1" customWidth="1"/>
    <col min="33" max="33" width="16" customWidth="1"/>
    <col min="34" max="34" width="53.28515625" customWidth="1"/>
  </cols>
  <sheetData>
    <row r="1" spans="1:38">
      <c r="A1" s="318" t="s">
        <v>4</v>
      </c>
      <c r="B1" s="318" t="s">
        <v>1373</v>
      </c>
      <c r="C1" s="60" t="s">
        <v>41</v>
      </c>
      <c r="D1" s="60" t="s">
        <v>2378</v>
      </c>
      <c r="E1" s="60" t="s">
        <v>2848</v>
      </c>
      <c r="F1" s="60" t="s">
        <v>2380</v>
      </c>
      <c r="G1" s="60" t="s">
        <v>1942</v>
      </c>
      <c r="H1" s="60" t="s">
        <v>2772</v>
      </c>
      <c r="I1" s="60" t="s">
        <v>2773</v>
      </c>
      <c r="J1" s="60" t="s">
        <v>35</v>
      </c>
      <c r="K1" s="60" t="s">
        <v>2774</v>
      </c>
      <c r="L1" s="60" t="s">
        <v>1943</v>
      </c>
      <c r="M1" s="60" t="s">
        <v>2848</v>
      </c>
      <c r="N1" s="60" t="s">
        <v>2380</v>
      </c>
      <c r="O1" s="60" t="s">
        <v>1942</v>
      </c>
      <c r="P1" s="20" t="s">
        <v>2772</v>
      </c>
      <c r="Q1" s="20" t="s">
        <v>2773</v>
      </c>
      <c r="R1" s="20" t="s">
        <v>35</v>
      </c>
      <c r="S1" s="60" t="s">
        <v>2774</v>
      </c>
      <c r="T1" s="20" t="s">
        <v>2849</v>
      </c>
      <c r="U1" s="20" t="s">
        <v>2850</v>
      </c>
      <c r="V1" s="20" t="s">
        <v>14</v>
      </c>
      <c r="W1" s="20" t="s">
        <v>28</v>
      </c>
      <c r="X1" s="20" t="s">
        <v>2851</v>
      </c>
      <c r="Y1" s="20" t="s">
        <v>17</v>
      </c>
      <c r="Z1" s="20" t="s">
        <v>2775</v>
      </c>
      <c r="AA1" s="20" t="s">
        <v>17</v>
      </c>
      <c r="AB1" s="15" t="s">
        <v>3</v>
      </c>
      <c r="AC1" s="15" t="s">
        <v>2852</v>
      </c>
      <c r="AD1" s="14" t="s">
        <v>2853</v>
      </c>
      <c r="AE1" s="15" t="s">
        <v>2854</v>
      </c>
      <c r="AF1" s="18" t="s">
        <v>2777</v>
      </c>
      <c r="AG1" s="52" t="s">
        <v>2778</v>
      </c>
      <c r="AH1" s="14" t="s">
        <v>2361</v>
      </c>
      <c r="AJ1" t="s">
        <v>2855</v>
      </c>
      <c r="AK1" s="28"/>
      <c r="AL1" t="s">
        <v>2856</v>
      </c>
    </row>
    <row r="2" spans="1:38">
      <c r="A2" s="774">
        <v>22</v>
      </c>
      <c r="B2" s="633" t="s">
        <v>50</v>
      </c>
      <c r="C2" s="442" t="s">
        <v>49</v>
      </c>
      <c r="D2" s="418" t="s">
        <v>2284</v>
      </c>
      <c r="E2" s="154" t="s">
        <v>2857</v>
      </c>
      <c r="F2" s="475">
        <v>45967</v>
      </c>
      <c r="G2" s="475">
        <v>47063</v>
      </c>
      <c r="H2" s="476" t="s">
        <v>2858</v>
      </c>
      <c r="I2" s="442" t="s">
        <v>2333</v>
      </c>
      <c r="J2" s="442" t="s">
        <v>1951</v>
      </c>
      <c r="K2" s="468">
        <v>433.98</v>
      </c>
      <c r="L2" s="442" t="s">
        <v>2287</v>
      </c>
      <c r="M2" s="427">
        <v>2194177</v>
      </c>
      <c r="N2" s="415">
        <v>45595</v>
      </c>
      <c r="O2" s="415">
        <v>46690</v>
      </c>
      <c r="P2" s="416">
        <v>2194177</v>
      </c>
      <c r="Q2" s="417" t="s">
        <v>2859</v>
      </c>
      <c r="R2" s="417" t="s">
        <v>2860</v>
      </c>
      <c r="S2" s="439">
        <v>298.89999999999998</v>
      </c>
      <c r="T2" s="372"/>
      <c r="U2" s="184" t="s">
        <v>2071</v>
      </c>
      <c r="V2" s="184" t="s">
        <v>2071</v>
      </c>
      <c r="W2" s="184" t="s">
        <v>2071</v>
      </c>
      <c r="X2" s="375"/>
      <c r="Y2" s="372"/>
      <c r="Z2" s="375" t="s">
        <v>2071</v>
      </c>
      <c r="AA2" s="375"/>
      <c r="AB2" s="6" t="s">
        <v>2861</v>
      </c>
      <c r="AC2" s="376" t="s">
        <v>2862</v>
      </c>
      <c r="AD2" s="376" t="s">
        <v>2071</v>
      </c>
      <c r="AE2" s="67">
        <f t="shared" ref="AE2:AE65" si="0">SUM(K2+S2+Y2+AA2)</f>
        <v>732.88</v>
      </c>
      <c r="AF2" s="6" t="s">
        <v>2863</v>
      </c>
      <c r="AG2" s="391">
        <v>45967</v>
      </c>
      <c r="AH2" s="70"/>
      <c r="AK2" s="29"/>
      <c r="AL2" t="s">
        <v>2864</v>
      </c>
    </row>
    <row r="3" spans="1:38">
      <c r="A3" s="322">
        <v>43</v>
      </c>
      <c r="B3" s="3" t="s">
        <v>58</v>
      </c>
      <c r="C3" s="3" t="s">
        <v>52</v>
      </c>
      <c r="D3" s="3" t="s">
        <v>2286</v>
      </c>
      <c r="E3" s="3" t="s">
        <v>2865</v>
      </c>
      <c r="F3" s="295">
        <v>45904</v>
      </c>
      <c r="G3" s="295">
        <v>47000</v>
      </c>
      <c r="H3" s="469">
        <v>11008906</v>
      </c>
      <c r="I3" s="3" t="s">
        <v>2785</v>
      </c>
      <c r="J3" s="3" t="s">
        <v>2866</v>
      </c>
      <c r="K3" s="331">
        <v>385</v>
      </c>
      <c r="L3" s="369" t="s">
        <v>2287</v>
      </c>
      <c r="M3" s="763">
        <v>2194590</v>
      </c>
      <c r="N3" s="444">
        <v>45572</v>
      </c>
      <c r="O3" s="444">
        <v>46302</v>
      </c>
      <c r="P3" s="398">
        <v>2194590</v>
      </c>
      <c r="Q3" s="404" t="s">
        <v>2867</v>
      </c>
      <c r="R3" s="174" t="s">
        <v>2860</v>
      </c>
      <c r="S3" s="478">
        <v>298.89999999999998</v>
      </c>
      <c r="T3" s="372"/>
      <c r="U3" s="184" t="s">
        <v>2071</v>
      </c>
      <c r="V3" s="184" t="s">
        <v>2071</v>
      </c>
      <c r="W3" s="184" t="s">
        <v>2071</v>
      </c>
      <c r="X3" s="349"/>
      <c r="Y3" s="373"/>
      <c r="Z3" s="349" t="s">
        <v>2071</v>
      </c>
      <c r="AA3" s="349"/>
      <c r="AB3" s="68" t="s">
        <v>2868</v>
      </c>
      <c r="AC3" s="8" t="s">
        <v>2869</v>
      </c>
      <c r="AD3" s="83" t="s">
        <v>2870</v>
      </c>
      <c r="AE3" s="67">
        <f t="shared" si="0"/>
        <v>683.9</v>
      </c>
      <c r="AF3" s="68" t="s">
        <v>2871</v>
      </c>
      <c r="AG3" s="89">
        <v>45904</v>
      </c>
      <c r="AH3" s="7"/>
      <c r="AK3" s="30"/>
      <c r="AL3" t="s">
        <v>2872</v>
      </c>
    </row>
    <row r="4" spans="1:38">
      <c r="A4" s="775">
        <v>80</v>
      </c>
      <c r="B4" s="297" t="s">
        <v>64</v>
      </c>
      <c r="C4" s="174" t="s">
        <v>60</v>
      </c>
      <c r="D4" s="174" t="s">
        <v>2284</v>
      </c>
      <c r="E4" s="296" t="s">
        <v>2857</v>
      </c>
      <c r="F4" s="572">
        <v>46083</v>
      </c>
      <c r="G4" s="572">
        <v>47179</v>
      </c>
      <c r="H4" s="8" t="s">
        <v>2873</v>
      </c>
      <c r="I4" s="296" t="s">
        <v>2333</v>
      </c>
      <c r="J4" s="297" t="s">
        <v>1951</v>
      </c>
      <c r="K4" s="487">
        <v>461.8</v>
      </c>
      <c r="L4" s="10" t="s">
        <v>1954</v>
      </c>
      <c r="M4" s="10" t="s">
        <v>2874</v>
      </c>
      <c r="N4" s="91">
        <v>46002</v>
      </c>
      <c r="O4" s="97">
        <v>46732</v>
      </c>
      <c r="P4" s="7" t="s">
        <v>2875</v>
      </c>
      <c r="Q4" s="96" t="s">
        <v>2876</v>
      </c>
      <c r="R4" s="10" t="s">
        <v>2860</v>
      </c>
      <c r="S4" s="620">
        <v>94.99</v>
      </c>
      <c r="T4" s="817" t="s">
        <v>2877</v>
      </c>
      <c r="U4" s="8" t="s">
        <v>2878</v>
      </c>
      <c r="V4" s="184" t="s">
        <v>2010</v>
      </c>
      <c r="W4" t="s">
        <v>2879</v>
      </c>
      <c r="X4" s="375" t="s">
        <v>2880</v>
      </c>
      <c r="Y4" s="372">
        <v>104.05</v>
      </c>
      <c r="Z4" s="375" t="s">
        <v>2071</v>
      </c>
      <c r="AA4" s="375"/>
      <c r="AB4" s="463" t="s">
        <v>2881</v>
      </c>
      <c r="AC4" s="16" t="s">
        <v>2882</v>
      </c>
      <c r="AD4" s="16"/>
      <c r="AE4" s="67">
        <f t="shared" si="0"/>
        <v>660.83999999999992</v>
      </c>
      <c r="AF4" s="463" t="s">
        <v>2883</v>
      </c>
      <c r="AG4" s="97">
        <v>46083</v>
      </c>
      <c r="AH4" s="101"/>
    </row>
    <row r="5" spans="1:38">
      <c r="A5" s="776">
        <v>87</v>
      </c>
      <c r="B5" s="367" t="s">
        <v>71</v>
      </c>
      <c r="C5" s="94" t="s">
        <v>70</v>
      </c>
      <c r="D5" s="94" t="s">
        <v>2284</v>
      </c>
      <c r="E5" s="3" t="s">
        <v>2857</v>
      </c>
      <c r="F5" s="391">
        <v>46043</v>
      </c>
      <c r="G5" s="84">
        <v>47139</v>
      </c>
      <c r="H5" s="465" t="s">
        <v>2884</v>
      </c>
      <c r="I5" s="94" t="s">
        <v>2333</v>
      </c>
      <c r="J5" s="376" t="s">
        <v>1951</v>
      </c>
      <c r="K5" s="405">
        <v>464.78</v>
      </c>
      <c r="L5" s="379" t="s">
        <v>1954</v>
      </c>
      <c r="M5" s="549" t="s">
        <v>2885</v>
      </c>
      <c r="N5" s="378">
        <v>45778</v>
      </c>
      <c r="O5" s="557">
        <v>46508</v>
      </c>
      <c r="P5" s="298" t="s">
        <v>2886</v>
      </c>
      <c r="Q5" s="379" t="s">
        <v>2887</v>
      </c>
      <c r="R5" s="367" t="s">
        <v>2860</v>
      </c>
      <c r="S5" s="434">
        <v>144.09</v>
      </c>
      <c r="T5" s="589"/>
      <c r="U5" s="449" t="s">
        <v>2071</v>
      </c>
      <c r="V5" s="449" t="s">
        <v>2071</v>
      </c>
      <c r="W5" s="449" t="s">
        <v>2071</v>
      </c>
      <c r="X5" s="589"/>
      <c r="Y5" s="623"/>
      <c r="Z5" s="589" t="s">
        <v>2071</v>
      </c>
      <c r="AA5" s="589"/>
      <c r="AB5" s="162" t="s">
        <v>2888</v>
      </c>
      <c r="AC5" s="83" t="s">
        <v>2889</v>
      </c>
      <c r="AD5" s="83" t="s">
        <v>2071</v>
      </c>
      <c r="AE5" s="67">
        <f t="shared" si="0"/>
        <v>608.87</v>
      </c>
      <c r="AF5" s="162" t="s">
        <v>2890</v>
      </c>
      <c r="AG5" s="485">
        <v>46043</v>
      </c>
      <c r="AH5" s="13"/>
    </row>
    <row r="6" spans="1:38">
      <c r="A6" s="780">
        <v>120</v>
      </c>
      <c r="B6" s="3" t="s">
        <v>77</v>
      </c>
      <c r="C6" s="8" t="s">
        <v>2891</v>
      </c>
      <c r="D6" s="3" t="s">
        <v>2297</v>
      </c>
      <c r="E6" s="218">
        <v>23348</v>
      </c>
      <c r="F6" s="78">
        <v>46120</v>
      </c>
      <c r="G6" s="78">
        <v>46851</v>
      </c>
      <c r="H6" t="s">
        <v>2892</v>
      </c>
      <c r="I6" s="8" t="s">
        <v>2333</v>
      </c>
      <c r="J6" s="8" t="s">
        <v>1951</v>
      </c>
      <c r="K6" s="428">
        <v>357.62</v>
      </c>
      <c r="L6" s="3" t="s">
        <v>2285</v>
      </c>
      <c r="M6" s="344" t="s">
        <v>2893</v>
      </c>
      <c r="N6" s="295">
        <v>45426</v>
      </c>
      <c r="O6" s="295">
        <v>46521</v>
      </c>
      <c r="P6" s="344" t="s">
        <v>2894</v>
      </c>
      <c r="Q6" s="3" t="s">
        <v>2895</v>
      </c>
      <c r="R6" s="3" t="s">
        <v>2860</v>
      </c>
      <c r="S6" s="435">
        <v>390</v>
      </c>
      <c r="T6" s="1067" t="s">
        <v>2896</v>
      </c>
      <c r="U6" s="8" t="s">
        <v>2878</v>
      </c>
      <c r="V6" s="184" t="s">
        <v>2024</v>
      </c>
      <c r="W6" s="218" t="s">
        <v>2897</v>
      </c>
      <c r="X6" s="349" t="s">
        <v>2880</v>
      </c>
      <c r="Y6" s="349"/>
      <c r="Z6" s="349"/>
      <c r="AA6" s="349"/>
      <c r="AB6" s="169" t="s">
        <v>2898</v>
      </c>
      <c r="AC6" s="83" t="s">
        <v>2899</v>
      </c>
      <c r="AD6" s="83"/>
      <c r="AE6" s="67">
        <f t="shared" si="0"/>
        <v>747.62</v>
      </c>
      <c r="AF6" s="162" t="s">
        <v>2900</v>
      </c>
      <c r="AG6" s="78">
        <v>46220</v>
      </c>
      <c r="AH6" s="9"/>
    </row>
    <row r="7" spans="1:38">
      <c r="A7" s="778">
        <v>125</v>
      </c>
      <c r="B7" s="367" t="s">
        <v>83</v>
      </c>
      <c r="C7" s="376" t="s">
        <v>78</v>
      </c>
      <c r="D7" s="367" t="s">
        <v>2284</v>
      </c>
      <c r="E7" s="379" t="s">
        <v>2857</v>
      </c>
      <c r="F7" s="237">
        <v>45994</v>
      </c>
      <c r="G7" s="237">
        <v>47090</v>
      </c>
      <c r="H7" s="518" t="s">
        <v>2901</v>
      </c>
      <c r="I7" s="94" t="s">
        <v>2333</v>
      </c>
      <c r="J7" s="94" t="s">
        <v>1951</v>
      </c>
      <c r="K7" s="552">
        <v>450.25</v>
      </c>
      <c r="L7" s="379" t="s">
        <v>1954</v>
      </c>
      <c r="M7" s="174">
        <v>3249939</v>
      </c>
      <c r="N7" s="378">
        <v>45917</v>
      </c>
      <c r="O7" s="996">
        <v>46647</v>
      </c>
      <c r="P7" s="379" t="s">
        <v>2902</v>
      </c>
      <c r="Q7" s="367" t="s">
        <v>2876</v>
      </c>
      <c r="R7" s="367" t="s">
        <v>2860</v>
      </c>
      <c r="S7" s="432">
        <v>94.99</v>
      </c>
      <c r="T7" s="382"/>
      <c r="U7" s="461" t="s">
        <v>2071</v>
      </c>
      <c r="V7" s="461" t="s">
        <v>2071</v>
      </c>
      <c r="W7" s="461" t="s">
        <v>2071</v>
      </c>
      <c r="X7" s="408"/>
      <c r="Y7" s="502"/>
      <c r="Z7" s="582" t="s">
        <v>2071</v>
      </c>
      <c r="AA7" s="502"/>
      <c r="AB7" s="8" t="s">
        <v>2903</v>
      </c>
      <c r="AC7" s="162" t="s">
        <v>2904</v>
      </c>
      <c r="AD7" s="83" t="s">
        <v>2071</v>
      </c>
      <c r="AE7" s="67">
        <f t="shared" si="0"/>
        <v>545.24</v>
      </c>
      <c r="AF7" s="162" t="s">
        <v>2905</v>
      </c>
      <c r="AG7" s="78">
        <v>45994</v>
      </c>
      <c r="AH7" s="9"/>
    </row>
    <row r="8" spans="1:38">
      <c r="A8" s="782">
        <v>130</v>
      </c>
      <c r="B8" s="3" t="s">
        <v>88</v>
      </c>
      <c r="C8" s="8" t="s">
        <v>84</v>
      </c>
      <c r="D8" s="3" t="s">
        <v>2284</v>
      </c>
      <c r="E8" s="3" t="s">
        <v>2857</v>
      </c>
      <c r="F8" s="295">
        <v>45996</v>
      </c>
      <c r="G8" s="78">
        <v>47092</v>
      </c>
      <c r="H8" s="8" t="s">
        <v>2906</v>
      </c>
      <c r="I8" s="8" t="s">
        <v>2333</v>
      </c>
      <c r="J8" s="8" t="s">
        <v>1951</v>
      </c>
      <c r="K8" s="67">
        <v>433.98</v>
      </c>
      <c r="L8" s="8" t="s">
        <v>1954</v>
      </c>
      <c r="M8" s="162">
        <v>22153440</v>
      </c>
      <c r="N8" s="78">
        <v>46181</v>
      </c>
      <c r="O8" s="78">
        <v>47277</v>
      </c>
      <c r="P8" s="958" t="s">
        <v>2907</v>
      </c>
      <c r="Q8" s="3" t="s">
        <v>2333</v>
      </c>
      <c r="R8" s="8" t="s">
        <v>1951</v>
      </c>
      <c r="S8" s="457">
        <v>380</v>
      </c>
      <c r="T8" s="374"/>
      <c r="U8" s="184" t="s">
        <v>2071</v>
      </c>
      <c r="V8" s="184" t="s">
        <v>2071</v>
      </c>
      <c r="W8" s="184" t="s">
        <v>2071</v>
      </c>
      <c r="X8" s="349"/>
      <c r="Y8" s="374"/>
      <c r="Z8" s="349" t="s">
        <v>2071</v>
      </c>
      <c r="AA8" s="382"/>
      <c r="AB8" s="463" t="s">
        <v>2908</v>
      </c>
      <c r="AC8" s="83" t="s">
        <v>2909</v>
      </c>
      <c r="AD8" s="83" t="s">
        <v>2910</v>
      </c>
      <c r="AE8" s="67">
        <f t="shared" si="0"/>
        <v>813.98</v>
      </c>
      <c r="AF8" s="162" t="s">
        <v>2911</v>
      </c>
      <c r="AG8" s="78">
        <v>46181</v>
      </c>
      <c r="AH8" s="9"/>
    </row>
    <row r="9" spans="1:38">
      <c r="A9" s="1091">
        <v>133</v>
      </c>
      <c r="B9" s="1080" t="s">
        <v>58</v>
      </c>
      <c r="C9" s="1092" t="s">
        <v>95</v>
      </c>
      <c r="D9" s="367" t="s">
        <v>2284</v>
      </c>
      <c r="E9" s="367" t="s">
        <v>2857</v>
      </c>
      <c r="F9" s="378">
        <v>45951</v>
      </c>
      <c r="G9" s="378">
        <v>47047</v>
      </c>
      <c r="H9" s="1009" t="s">
        <v>2912</v>
      </c>
      <c r="I9" s="379" t="s">
        <v>2333</v>
      </c>
      <c r="J9" s="385" t="s">
        <v>1951</v>
      </c>
      <c r="K9" s="405">
        <v>439.27</v>
      </c>
      <c r="L9" s="832" t="s">
        <v>2292</v>
      </c>
      <c r="M9" s="873">
        <v>1199</v>
      </c>
      <c r="N9" s="703">
        <v>42745</v>
      </c>
      <c r="O9" s="871" t="s">
        <v>1968</v>
      </c>
      <c r="P9" s="998" t="s">
        <v>2913</v>
      </c>
      <c r="Q9" s="833" t="s">
        <v>1987</v>
      </c>
      <c r="R9" s="833" t="s">
        <v>1951</v>
      </c>
      <c r="S9" s="876">
        <v>607.14</v>
      </c>
      <c r="T9" s="37"/>
      <c r="U9" s="34" t="s">
        <v>2071</v>
      </c>
      <c r="V9" s="34" t="s">
        <v>2071</v>
      </c>
      <c r="W9" s="34" t="s">
        <v>2071</v>
      </c>
      <c r="X9" s="37"/>
      <c r="Y9" s="189"/>
      <c r="Z9" s="37" t="s">
        <v>2071</v>
      </c>
      <c r="AA9" s="37"/>
      <c r="AB9" s="33" t="s">
        <v>2914</v>
      </c>
      <c r="AC9" s="26" t="s">
        <v>2915</v>
      </c>
      <c r="AD9" s="26"/>
      <c r="AE9" s="317">
        <f t="shared" si="0"/>
        <v>1046.4099999999999</v>
      </c>
      <c r="AF9" s="33" t="s">
        <v>2916</v>
      </c>
      <c r="AG9" s="27">
        <v>45814</v>
      </c>
      <c r="AH9" s="9"/>
    </row>
    <row r="10" spans="1:38">
      <c r="A10" s="780">
        <v>135</v>
      </c>
      <c r="B10" s="154" t="s">
        <v>88</v>
      </c>
      <c r="C10" s="17" t="s">
        <v>100</v>
      </c>
      <c r="D10" s="17" t="s">
        <v>1956</v>
      </c>
      <c r="E10" s="154" t="s">
        <v>2917</v>
      </c>
      <c r="F10" s="84">
        <v>46087</v>
      </c>
      <c r="G10" s="84">
        <v>47183</v>
      </c>
      <c r="H10" s="388">
        <v>10079907</v>
      </c>
      <c r="I10" s="17" t="s">
        <v>2333</v>
      </c>
      <c r="J10" s="17" t="s">
        <v>1951</v>
      </c>
      <c r="K10" s="574">
        <v>360</v>
      </c>
      <c r="L10" s="69" t="s">
        <v>2284</v>
      </c>
      <c r="M10" s="218" t="s">
        <v>2918</v>
      </c>
      <c r="N10" s="78">
        <v>45958</v>
      </c>
      <c r="O10" s="78">
        <v>47054</v>
      </c>
      <c r="P10" s="81" t="s">
        <v>2919</v>
      </c>
      <c r="Q10" s="69" t="s">
        <v>2859</v>
      </c>
      <c r="R10" s="17" t="s">
        <v>2860</v>
      </c>
      <c r="S10" s="443">
        <v>187.56</v>
      </c>
      <c r="T10" s="381"/>
      <c r="U10" s="184" t="s">
        <v>2071</v>
      </c>
      <c r="V10" s="184" t="s">
        <v>2071</v>
      </c>
      <c r="W10" s="184" t="s">
        <v>2071</v>
      </c>
      <c r="X10" s="184"/>
      <c r="Y10" s="381"/>
      <c r="Z10" s="375" t="s">
        <v>2071</v>
      </c>
      <c r="AA10" s="184"/>
      <c r="AB10" s="162" t="s">
        <v>2920</v>
      </c>
      <c r="AC10" s="83" t="s">
        <v>2921</v>
      </c>
      <c r="AD10" s="83"/>
      <c r="AE10" s="67">
        <f t="shared" si="0"/>
        <v>547.55999999999995</v>
      </c>
      <c r="AF10" s="162" t="s">
        <v>2922</v>
      </c>
      <c r="AG10" s="78">
        <v>46087</v>
      </c>
      <c r="AH10" s="9"/>
    </row>
    <row r="11" spans="1:38">
      <c r="A11" s="779">
        <v>136</v>
      </c>
      <c r="B11" s="3" t="s">
        <v>58</v>
      </c>
      <c r="C11" s="8" t="s">
        <v>105</v>
      </c>
      <c r="D11" s="3" t="s">
        <v>2286</v>
      </c>
      <c r="E11" s="3" t="s">
        <v>2865</v>
      </c>
      <c r="F11" s="371">
        <v>46027</v>
      </c>
      <c r="G11" s="371">
        <v>47123</v>
      </c>
      <c r="H11" s="81">
        <v>11019441</v>
      </c>
      <c r="I11" s="3" t="s">
        <v>2785</v>
      </c>
      <c r="J11" s="3" t="s">
        <v>2866</v>
      </c>
      <c r="K11" s="331">
        <v>385</v>
      </c>
      <c r="L11" s="862" t="s">
        <v>2287</v>
      </c>
      <c r="M11" s="863">
        <v>2194246</v>
      </c>
      <c r="N11" s="864">
        <v>45345</v>
      </c>
      <c r="O11" s="870" t="s">
        <v>1968</v>
      </c>
      <c r="P11" s="865">
        <v>2194246</v>
      </c>
      <c r="Q11" s="862" t="s">
        <v>2867</v>
      </c>
      <c r="R11" s="862" t="s">
        <v>2860</v>
      </c>
      <c r="S11" s="866">
        <v>298.89999999999998</v>
      </c>
      <c r="T11" s="623"/>
      <c r="U11" s="184" t="s">
        <v>2071</v>
      </c>
      <c r="V11" s="184" t="s">
        <v>2071</v>
      </c>
      <c r="W11" s="184" t="s">
        <v>2071</v>
      </c>
      <c r="X11" s="438"/>
      <c r="Y11" s="448"/>
      <c r="Z11" s="438" t="s">
        <v>2071</v>
      </c>
      <c r="AA11" s="349"/>
      <c r="AB11" s="162" t="s">
        <v>2923</v>
      </c>
      <c r="AC11" s="83" t="s">
        <v>2924</v>
      </c>
      <c r="AD11" s="83" t="s">
        <v>2925</v>
      </c>
      <c r="AE11" s="67">
        <f t="shared" si="0"/>
        <v>683.9</v>
      </c>
      <c r="AF11" s="162" t="s">
        <v>2926</v>
      </c>
      <c r="AG11" s="78">
        <v>46027</v>
      </c>
      <c r="AH11" s="9"/>
    </row>
    <row r="12" spans="1:38">
      <c r="A12" s="780">
        <v>140</v>
      </c>
      <c r="B12" s="367" t="s">
        <v>112</v>
      </c>
      <c r="C12" s="94" t="s">
        <v>111</v>
      </c>
      <c r="D12" s="94" t="s">
        <v>2297</v>
      </c>
      <c r="E12" s="412">
        <v>23348</v>
      </c>
      <c r="F12" s="641">
        <v>46093</v>
      </c>
      <c r="G12" s="237">
        <v>46824</v>
      </c>
      <c r="H12" s="6" t="s">
        <v>2927</v>
      </c>
      <c r="I12" s="94" t="s">
        <v>2333</v>
      </c>
      <c r="J12" s="94" t="s">
        <v>1951</v>
      </c>
      <c r="K12" s="441">
        <v>357.24</v>
      </c>
      <c r="L12" s="379" t="s">
        <v>2284</v>
      </c>
      <c r="M12" s="3" t="s">
        <v>2928</v>
      </c>
      <c r="N12" s="295">
        <v>45896</v>
      </c>
      <c r="O12" s="295">
        <v>46626</v>
      </c>
      <c r="P12" s="3" t="s">
        <v>2929</v>
      </c>
      <c r="Q12" s="296" t="s">
        <v>2333</v>
      </c>
      <c r="R12" s="174" t="s">
        <v>1951</v>
      </c>
      <c r="S12" s="430">
        <v>453.09</v>
      </c>
      <c r="T12" s="448"/>
      <c r="U12" s="438"/>
      <c r="V12" s="507"/>
      <c r="W12" s="12"/>
      <c r="X12" s="448"/>
      <c r="Y12" s="438"/>
      <c r="Z12" s="589" t="s">
        <v>2071</v>
      </c>
      <c r="AA12" s="438"/>
      <c r="AB12" s="169" t="s">
        <v>2930</v>
      </c>
      <c r="AC12" s="181" t="s">
        <v>2931</v>
      </c>
      <c r="AD12" s="181"/>
      <c r="AE12" s="85">
        <f t="shared" si="0"/>
        <v>810.32999999999993</v>
      </c>
      <c r="AF12" s="169" t="s">
        <v>2932</v>
      </c>
      <c r="AG12" s="84">
        <v>46093</v>
      </c>
      <c r="AH12" s="13"/>
    </row>
    <row r="13" spans="1:38">
      <c r="A13" s="781">
        <v>142</v>
      </c>
      <c r="B13" s="154" t="s">
        <v>120</v>
      </c>
      <c r="C13" s="400" t="s">
        <v>119</v>
      </c>
      <c r="D13" s="369" t="s">
        <v>2286</v>
      </c>
      <c r="E13" s="3" t="s">
        <v>2865</v>
      </c>
      <c r="F13" s="295">
        <v>45975</v>
      </c>
      <c r="G13" s="78">
        <v>47071</v>
      </c>
      <c r="H13" s="370">
        <v>98376</v>
      </c>
      <c r="I13" s="369" t="s">
        <v>2785</v>
      </c>
      <c r="J13" s="369" t="s">
        <v>2866</v>
      </c>
      <c r="K13" s="439">
        <v>385</v>
      </c>
      <c r="L13" s="369" t="s">
        <v>2287</v>
      </c>
      <c r="M13" s="763">
        <v>2194719</v>
      </c>
      <c r="N13" s="444">
        <v>45595</v>
      </c>
      <c r="O13" s="444">
        <v>46690</v>
      </c>
      <c r="P13" s="510">
        <v>2194719</v>
      </c>
      <c r="Q13" s="369" t="s">
        <v>2859</v>
      </c>
      <c r="R13" s="369" t="s">
        <v>2860</v>
      </c>
      <c r="S13" s="428">
        <v>298.89999999999998</v>
      </c>
      <c r="T13" s="818" t="s">
        <v>2933</v>
      </c>
      <c r="U13" s="382" t="s">
        <v>2934</v>
      </c>
      <c r="V13" s="349" t="s">
        <v>2370</v>
      </c>
      <c r="W13" s="7" t="s">
        <v>2935</v>
      </c>
      <c r="X13" s="349" t="s">
        <v>2880</v>
      </c>
      <c r="Y13" s="349"/>
      <c r="Z13" s="349" t="s">
        <v>2071</v>
      </c>
      <c r="AA13" s="349"/>
      <c r="AB13" s="8" t="s">
        <v>2936</v>
      </c>
      <c r="AC13" s="8" t="s">
        <v>2937</v>
      </c>
      <c r="AD13" s="8" t="s">
        <v>2071</v>
      </c>
      <c r="AE13" s="67">
        <f t="shared" si="0"/>
        <v>683.9</v>
      </c>
      <c r="AF13" s="8" t="s">
        <v>2938</v>
      </c>
      <c r="AG13" s="78">
        <v>45975</v>
      </c>
      <c r="AH13" s="8"/>
    </row>
    <row r="14" spans="1:38">
      <c r="A14" s="778">
        <v>150</v>
      </c>
      <c r="B14" s="3" t="s">
        <v>129</v>
      </c>
      <c r="C14" s="8" t="s">
        <v>128</v>
      </c>
      <c r="D14" s="296" t="s">
        <v>2284</v>
      </c>
      <c r="E14" s="174" t="s">
        <v>2857</v>
      </c>
      <c r="F14" s="347">
        <v>45996</v>
      </c>
      <c r="G14" s="91">
        <v>47092</v>
      </c>
      <c r="H14" s="406" t="s">
        <v>2939</v>
      </c>
      <c r="I14" s="390" t="s">
        <v>2333</v>
      </c>
      <c r="J14" s="94" t="s">
        <v>1951</v>
      </c>
      <c r="K14" s="588">
        <v>450.25</v>
      </c>
      <c r="L14" s="390" t="s">
        <v>2285</v>
      </c>
      <c r="M14" s="94" t="s">
        <v>2940</v>
      </c>
      <c r="N14" s="237">
        <v>46224</v>
      </c>
      <c r="O14" s="84">
        <v>46955</v>
      </c>
      <c r="P14" s="6" t="s">
        <v>2941</v>
      </c>
      <c r="Q14" s="94" t="s">
        <v>2336</v>
      </c>
      <c r="R14" s="94" t="s">
        <v>1951</v>
      </c>
      <c r="S14" s="473">
        <v>410</v>
      </c>
      <c r="T14" s="437"/>
      <c r="U14" s="499" t="s">
        <v>2071</v>
      </c>
      <c r="V14" s="499" t="s">
        <v>2071</v>
      </c>
      <c r="W14" s="499" t="s">
        <v>2071</v>
      </c>
      <c r="X14" s="437"/>
      <c r="Y14" s="389"/>
      <c r="Z14" s="634" t="s">
        <v>2071</v>
      </c>
      <c r="AA14" s="437"/>
      <c r="AB14" s="6" t="s">
        <v>2942</v>
      </c>
      <c r="AC14" s="376" t="s">
        <v>2943</v>
      </c>
      <c r="AD14" s="376"/>
      <c r="AE14" s="551">
        <f t="shared" si="0"/>
        <v>860.25</v>
      </c>
      <c r="AF14" s="6" t="s">
        <v>2944</v>
      </c>
      <c r="AG14" s="84">
        <v>46224</v>
      </c>
      <c r="AH14" s="70"/>
    </row>
    <row r="15" spans="1:38">
      <c r="A15" s="780">
        <v>160</v>
      </c>
      <c r="B15" s="385" t="s">
        <v>71</v>
      </c>
      <c r="C15" s="376" t="s">
        <v>70</v>
      </c>
      <c r="D15" s="418" t="s">
        <v>2284</v>
      </c>
      <c r="E15" s="154" t="s">
        <v>2857</v>
      </c>
      <c r="F15" s="84">
        <v>46031</v>
      </c>
      <c r="G15" s="84">
        <v>47127</v>
      </c>
      <c r="H15" s="388" t="s">
        <v>2945</v>
      </c>
      <c r="I15" s="513" t="s">
        <v>2333</v>
      </c>
      <c r="J15" s="442" t="s">
        <v>1951</v>
      </c>
      <c r="K15" s="468">
        <v>464.78</v>
      </c>
      <c r="L15" s="17" t="s">
        <v>1954</v>
      </c>
      <c r="M15" s="162">
        <v>22153440</v>
      </c>
      <c r="N15" s="78">
        <v>46206</v>
      </c>
      <c r="O15" s="78">
        <v>47302</v>
      </c>
      <c r="P15" s="1083">
        <v>860000221276990</v>
      </c>
      <c r="Q15" s="8" t="s">
        <v>2333</v>
      </c>
      <c r="R15" s="8" t="s">
        <v>1951</v>
      </c>
      <c r="S15" s="617">
        <v>380</v>
      </c>
      <c r="T15" s="373"/>
      <c r="U15" s="184" t="s">
        <v>2071</v>
      </c>
      <c r="V15" s="184" t="s">
        <v>2071</v>
      </c>
      <c r="W15" s="184" t="s">
        <v>2071</v>
      </c>
      <c r="X15" s="349"/>
      <c r="Y15" s="349"/>
      <c r="Z15" s="375" t="s">
        <v>2071</v>
      </c>
      <c r="AA15" s="349"/>
      <c r="AB15" s="8" t="s">
        <v>2946</v>
      </c>
      <c r="AC15" s="8" t="s">
        <v>2947</v>
      </c>
      <c r="AD15" s="8"/>
      <c r="AE15" s="67">
        <f t="shared" si="0"/>
        <v>844.78</v>
      </c>
      <c r="AF15" s="8" t="s">
        <v>2948</v>
      </c>
      <c r="AG15" s="78">
        <v>46231</v>
      </c>
      <c r="AH15" s="7"/>
    </row>
    <row r="16" spans="1:38">
      <c r="A16" s="781">
        <v>165</v>
      </c>
      <c r="B16" s="3" t="s">
        <v>58</v>
      </c>
      <c r="C16" s="369" t="s">
        <v>143</v>
      </c>
      <c r="D16" s="3" t="s">
        <v>2286</v>
      </c>
      <c r="E16" s="3" t="s">
        <v>2865</v>
      </c>
      <c r="F16" s="371">
        <v>46027</v>
      </c>
      <c r="G16" s="371">
        <v>47123</v>
      </c>
      <c r="H16" s="370">
        <v>11019436</v>
      </c>
      <c r="I16" s="3" t="s">
        <v>2785</v>
      </c>
      <c r="J16" s="3" t="s">
        <v>2866</v>
      </c>
      <c r="K16" s="331">
        <v>385</v>
      </c>
      <c r="L16" s="369" t="s">
        <v>2287</v>
      </c>
      <c r="M16" s="763">
        <v>2194707</v>
      </c>
      <c r="N16" s="444">
        <v>45595</v>
      </c>
      <c r="O16" s="444">
        <v>46690</v>
      </c>
      <c r="P16" s="510">
        <v>2194707</v>
      </c>
      <c r="Q16" s="404" t="s">
        <v>2859</v>
      </c>
      <c r="R16" s="174" t="s">
        <v>2860</v>
      </c>
      <c r="S16" s="571">
        <v>298.89999999999998</v>
      </c>
      <c r="T16" s="591"/>
      <c r="U16" s="461" t="s">
        <v>2071</v>
      </c>
      <c r="V16" s="461" t="s">
        <v>2071</v>
      </c>
      <c r="W16" s="461" t="s">
        <v>2071</v>
      </c>
      <c r="X16" s="382"/>
      <c r="Y16" s="382"/>
      <c r="Z16" s="582" t="s">
        <v>2071</v>
      </c>
      <c r="AA16" s="382"/>
      <c r="AB16" s="10" t="s">
        <v>2949</v>
      </c>
      <c r="AC16" s="10" t="s">
        <v>2950</v>
      </c>
      <c r="AD16" s="10" t="s">
        <v>2071</v>
      </c>
      <c r="AE16" s="92">
        <f t="shared" si="0"/>
        <v>683.9</v>
      </c>
      <c r="AF16" s="10" t="s">
        <v>2951</v>
      </c>
      <c r="AG16" s="91">
        <v>46027</v>
      </c>
    </row>
    <row r="17" spans="1:34">
      <c r="A17" s="782">
        <v>176</v>
      </c>
      <c r="B17" s="3" t="s">
        <v>58</v>
      </c>
      <c r="C17" s="8" t="s">
        <v>151</v>
      </c>
      <c r="D17" s="8" t="s">
        <v>2286</v>
      </c>
      <c r="E17" s="3" t="s">
        <v>2865</v>
      </c>
      <c r="F17" s="295">
        <v>45965</v>
      </c>
      <c r="G17" s="295">
        <v>47061</v>
      </c>
      <c r="H17" s="81">
        <v>11019443</v>
      </c>
      <c r="I17" s="8" t="s">
        <v>2785</v>
      </c>
      <c r="J17" s="8" t="s">
        <v>2866</v>
      </c>
      <c r="K17" s="439">
        <v>385</v>
      </c>
      <c r="L17" s="369" t="s">
        <v>2287</v>
      </c>
      <c r="M17" s="710">
        <v>2194263</v>
      </c>
      <c r="N17" s="397">
        <v>45595</v>
      </c>
      <c r="O17" s="397">
        <v>46690</v>
      </c>
      <c r="P17" s="398">
        <v>2194263</v>
      </c>
      <c r="Q17" s="396" t="s">
        <v>2859</v>
      </c>
      <c r="R17" s="396" t="s">
        <v>2860</v>
      </c>
      <c r="S17" s="441">
        <v>298.89999999999998</v>
      </c>
      <c r="T17" s="591"/>
      <c r="U17" s="461" t="s">
        <v>2071</v>
      </c>
      <c r="V17" s="461" t="s">
        <v>2071</v>
      </c>
      <c r="W17" s="461" t="s">
        <v>2071</v>
      </c>
      <c r="X17" s="461"/>
      <c r="Y17" s="467"/>
      <c r="Z17" s="382" t="s">
        <v>2071</v>
      </c>
      <c r="AA17" s="461"/>
      <c r="AB17" s="96" t="s">
        <v>2952</v>
      </c>
      <c r="AC17" s="10" t="s">
        <v>2953</v>
      </c>
      <c r="AD17" s="16" t="s">
        <v>2954</v>
      </c>
      <c r="AE17" s="92">
        <f t="shared" si="0"/>
        <v>683.9</v>
      </c>
      <c r="AF17" s="96" t="s">
        <v>2955</v>
      </c>
      <c r="AG17" s="91">
        <v>45965</v>
      </c>
      <c r="AH17" s="83"/>
    </row>
    <row r="18" spans="1:34">
      <c r="A18" s="783">
        <v>178</v>
      </c>
      <c r="B18" s="297" t="s">
        <v>159</v>
      </c>
      <c r="C18" s="297" t="s">
        <v>158</v>
      </c>
      <c r="D18" s="174" t="s">
        <v>2284</v>
      </c>
      <c r="E18" s="174" t="s">
        <v>2857</v>
      </c>
      <c r="F18" s="347">
        <v>45993</v>
      </c>
      <c r="G18" s="91">
        <v>47089</v>
      </c>
      <c r="H18" s="406" t="s">
        <v>2956</v>
      </c>
      <c r="I18" s="296" t="s">
        <v>2333</v>
      </c>
      <c r="J18" s="297" t="s">
        <v>1951</v>
      </c>
      <c r="K18" s="487">
        <v>444.7</v>
      </c>
      <c r="L18" s="66" t="s">
        <v>1954</v>
      </c>
      <c r="M18" s="66">
        <v>2341178</v>
      </c>
      <c r="N18" s="191">
        <v>44425</v>
      </c>
      <c r="O18" s="683" t="s">
        <v>1968</v>
      </c>
      <c r="P18" s="192">
        <v>621980147058797</v>
      </c>
      <c r="Q18" s="66" t="s">
        <v>1987</v>
      </c>
      <c r="R18" s="178" t="s">
        <v>1951</v>
      </c>
      <c r="S18" s="554">
        <v>497.86</v>
      </c>
      <c r="T18" s="150"/>
      <c r="U18" s="34" t="s">
        <v>2071</v>
      </c>
      <c r="V18" s="34" t="s">
        <v>2071</v>
      </c>
      <c r="W18" s="34" t="s">
        <v>2071</v>
      </c>
      <c r="X18" s="42"/>
      <c r="Y18" s="150"/>
      <c r="Z18" s="37" t="s">
        <v>2071</v>
      </c>
      <c r="AA18" s="42"/>
      <c r="AB18" s="54" t="s">
        <v>2957</v>
      </c>
      <c r="AC18" s="45" t="s">
        <v>2958</v>
      </c>
      <c r="AD18" s="45" t="s">
        <v>2959</v>
      </c>
      <c r="AE18" s="317">
        <f t="shared" si="0"/>
        <v>942.56</v>
      </c>
      <c r="AF18" s="54" t="s">
        <v>2960</v>
      </c>
      <c r="AG18" s="58">
        <v>45797</v>
      </c>
      <c r="AH18" s="711"/>
    </row>
    <row r="19" spans="1:34">
      <c r="A19" s="774">
        <v>180</v>
      </c>
      <c r="B19" s="458" t="s">
        <v>58</v>
      </c>
      <c r="C19" s="154" t="s">
        <v>166</v>
      </c>
      <c r="D19" s="367" t="s">
        <v>2285</v>
      </c>
      <c r="E19" s="367" t="s">
        <v>2940</v>
      </c>
      <c r="F19" s="378">
        <v>46230</v>
      </c>
      <c r="G19" s="237">
        <v>46961</v>
      </c>
      <c r="H19" t="s">
        <v>2961</v>
      </c>
      <c r="I19" s="154" t="s">
        <v>2336</v>
      </c>
      <c r="J19" s="458" t="s">
        <v>1951</v>
      </c>
      <c r="K19" s="468">
        <v>410</v>
      </c>
      <c r="L19" s="94" t="s">
        <v>2284</v>
      </c>
      <c r="M19" s="412" t="s">
        <v>2918</v>
      </c>
      <c r="N19" s="237">
        <v>45951</v>
      </c>
      <c r="O19" s="237">
        <v>47047</v>
      </c>
      <c r="P19" s="380" t="s">
        <v>2962</v>
      </c>
      <c r="Q19" s="94" t="s">
        <v>2876</v>
      </c>
      <c r="R19" s="94" t="s">
        <v>2860</v>
      </c>
      <c r="S19" s="555">
        <v>227.82</v>
      </c>
      <c r="T19" s="373"/>
      <c r="U19" s="184" t="s">
        <v>2071</v>
      </c>
      <c r="V19" s="184" t="s">
        <v>2071</v>
      </c>
      <c r="W19" s="449" t="s">
        <v>2071</v>
      </c>
      <c r="X19" s="438"/>
      <c r="Y19" s="448"/>
      <c r="Z19" s="589" t="s">
        <v>2071</v>
      </c>
      <c r="AA19" s="438"/>
      <c r="AB19" s="169" t="s">
        <v>2963</v>
      </c>
      <c r="AC19" s="181" t="s">
        <v>2964</v>
      </c>
      <c r="AD19" s="181"/>
      <c r="AE19" s="85">
        <f t="shared" si="0"/>
        <v>637.81999999999994</v>
      </c>
      <c r="AF19" s="169" t="s">
        <v>2965</v>
      </c>
      <c r="AG19" s="78">
        <v>46230</v>
      </c>
      <c r="AH19" s="7"/>
    </row>
    <row r="20" spans="1:34">
      <c r="A20" s="780">
        <v>196</v>
      </c>
      <c r="B20" s="154" t="s">
        <v>64</v>
      </c>
      <c r="C20" s="181" t="s">
        <v>173</v>
      </c>
      <c r="D20" s="154" t="s">
        <v>2284</v>
      </c>
      <c r="E20" s="154" t="s">
        <v>2857</v>
      </c>
      <c r="F20" s="387">
        <v>46007</v>
      </c>
      <c r="G20" s="84">
        <v>47103</v>
      </c>
      <c r="H20" s="388" t="s">
        <v>2966</v>
      </c>
      <c r="I20" s="407" t="s">
        <v>2333</v>
      </c>
      <c r="J20" s="154" t="s">
        <v>1951</v>
      </c>
      <c r="K20" s="509">
        <v>461.8</v>
      </c>
      <c r="L20" s="17" t="s">
        <v>2299</v>
      </c>
      <c r="M20" s="576" t="s">
        <v>2940</v>
      </c>
      <c r="N20" s="84">
        <v>46090</v>
      </c>
      <c r="O20" s="84">
        <v>46821</v>
      </c>
      <c r="P20" s="997" t="s">
        <v>2967</v>
      </c>
      <c r="Q20" s="17" t="s">
        <v>2859</v>
      </c>
      <c r="R20" s="17" t="s">
        <v>2860</v>
      </c>
      <c r="S20" s="574">
        <v>400</v>
      </c>
      <c r="T20" s="819" t="s">
        <v>2968</v>
      </c>
      <c r="U20" s="382" t="s">
        <v>2934</v>
      </c>
      <c r="V20" s="408" t="s">
        <v>2370</v>
      </c>
      <c r="W20" s="184" t="s">
        <v>2969</v>
      </c>
      <c r="X20" s="374" t="s">
        <v>2880</v>
      </c>
      <c r="Y20" s="461">
        <v>0</v>
      </c>
      <c r="Z20" s="349" t="s">
        <v>2071</v>
      </c>
      <c r="AA20" s="184"/>
      <c r="AB20" s="8" t="s">
        <v>2970</v>
      </c>
      <c r="AC20" s="8" t="s">
        <v>2971</v>
      </c>
      <c r="AD20" s="8"/>
      <c r="AE20" s="67">
        <f t="shared" si="0"/>
        <v>861.8</v>
      </c>
      <c r="AF20" s="83" t="s">
        <v>2972</v>
      </c>
      <c r="AG20" s="78">
        <v>46090</v>
      </c>
      <c r="AH20" s="7"/>
    </row>
    <row r="21" spans="1:34">
      <c r="A21" s="778">
        <v>508</v>
      </c>
      <c r="B21" s="3" t="s">
        <v>129</v>
      </c>
      <c r="C21" s="3" t="s">
        <v>128</v>
      </c>
      <c r="D21" s="3" t="s">
        <v>2284</v>
      </c>
      <c r="E21" s="3" t="s">
        <v>2857</v>
      </c>
      <c r="F21" s="295">
        <v>46007</v>
      </c>
      <c r="G21" s="78">
        <v>47103</v>
      </c>
      <c r="H21" s="8" t="s">
        <v>2973</v>
      </c>
      <c r="I21" s="3" t="s">
        <v>2333</v>
      </c>
      <c r="J21" s="3" t="s">
        <v>1951</v>
      </c>
      <c r="K21" s="1002">
        <v>450.25</v>
      </c>
      <c r="L21" s="3" t="s">
        <v>1954</v>
      </c>
      <c r="M21" s="162">
        <v>22153440</v>
      </c>
      <c r="N21" s="295">
        <v>46176</v>
      </c>
      <c r="O21" s="78">
        <v>47272</v>
      </c>
      <c r="P21" s="81">
        <v>610000221280590</v>
      </c>
      <c r="Q21" s="3" t="s">
        <v>2333</v>
      </c>
      <c r="R21" s="3" t="s">
        <v>1951</v>
      </c>
      <c r="S21" s="457">
        <v>380</v>
      </c>
      <c r="T21" s="373"/>
      <c r="U21" s="184" t="s">
        <v>2071</v>
      </c>
      <c r="V21" s="464" t="s">
        <v>2071</v>
      </c>
      <c r="W21" s="184" t="s">
        <v>2071</v>
      </c>
      <c r="X21" s="349"/>
      <c r="Y21" s="349"/>
      <c r="Z21" s="349" t="s">
        <v>2071</v>
      </c>
      <c r="AA21" s="349"/>
      <c r="AB21" s="8" t="s">
        <v>2974</v>
      </c>
      <c r="AC21" s="8" t="s">
        <v>2975</v>
      </c>
      <c r="AD21" s="8"/>
      <c r="AE21" s="67">
        <f t="shared" si="0"/>
        <v>830.25</v>
      </c>
      <c r="AF21" s="83" t="s">
        <v>2976</v>
      </c>
      <c r="AG21" s="78">
        <v>46181</v>
      </c>
      <c r="AH21" s="7"/>
    </row>
    <row r="22" spans="1:34">
      <c r="A22" s="699">
        <v>510</v>
      </c>
      <c r="B22" s="367" t="s">
        <v>58</v>
      </c>
      <c r="C22" s="367" t="s">
        <v>95</v>
      </c>
      <c r="D22" s="385" t="s">
        <v>2284</v>
      </c>
      <c r="E22" s="94" t="s">
        <v>2857</v>
      </c>
      <c r="F22" s="237">
        <v>45951</v>
      </c>
      <c r="G22" s="237">
        <v>47047</v>
      </c>
      <c r="H22" s="380" t="s">
        <v>2977</v>
      </c>
      <c r="I22" s="94" t="s">
        <v>1964</v>
      </c>
      <c r="J22" s="94" t="s">
        <v>1951</v>
      </c>
      <c r="K22" s="405">
        <v>439.27</v>
      </c>
      <c r="L22" s="832" t="s">
        <v>2293</v>
      </c>
      <c r="M22" s="881">
        <v>201603422</v>
      </c>
      <c r="N22" s="833"/>
      <c r="O22" s="871" t="s">
        <v>2978</v>
      </c>
      <c r="P22" s="875" t="s">
        <v>2979</v>
      </c>
      <c r="Q22" s="833" t="s">
        <v>1964</v>
      </c>
      <c r="R22" s="855" t="s">
        <v>1951</v>
      </c>
      <c r="S22" s="857">
        <v>758.82</v>
      </c>
      <c r="T22" s="373"/>
      <c r="U22" s="184" t="s">
        <v>2071</v>
      </c>
      <c r="V22" s="184" t="s">
        <v>2071</v>
      </c>
      <c r="W22" s="461" t="s">
        <v>2071</v>
      </c>
      <c r="X22" s="382"/>
      <c r="Y22" s="374"/>
      <c r="Z22" s="382" t="s">
        <v>2071</v>
      </c>
      <c r="AA22" s="92"/>
      <c r="AB22" s="463" t="s">
        <v>2980</v>
      </c>
      <c r="AC22" s="16" t="s">
        <v>2981</v>
      </c>
      <c r="AD22" s="16"/>
      <c r="AE22" s="92">
        <f t="shared" si="0"/>
        <v>1198.0900000000001</v>
      </c>
      <c r="AF22" s="463" t="s">
        <v>2982</v>
      </c>
      <c r="AG22" s="78">
        <v>45951</v>
      </c>
      <c r="AH22" s="7"/>
    </row>
    <row r="23" spans="1:34">
      <c r="A23" s="776">
        <v>514</v>
      </c>
      <c r="B23" s="367" t="s">
        <v>194</v>
      </c>
      <c r="C23" s="367" t="s">
        <v>190</v>
      </c>
      <c r="D23" s="367" t="s">
        <v>2284</v>
      </c>
      <c r="E23" s="379" t="s">
        <v>2857</v>
      </c>
      <c r="F23" s="237">
        <v>46001</v>
      </c>
      <c r="G23" s="237">
        <v>47097</v>
      </c>
      <c r="H23" s="380" t="s">
        <v>2983</v>
      </c>
      <c r="I23" s="367" t="s">
        <v>2333</v>
      </c>
      <c r="J23" s="385" t="s">
        <v>1951</v>
      </c>
      <c r="K23" s="514">
        <v>507.33</v>
      </c>
      <c r="L23" s="94" t="s">
        <v>1954</v>
      </c>
      <c r="M23" s="10">
        <v>2341178</v>
      </c>
      <c r="N23" s="91">
        <v>45778</v>
      </c>
      <c r="O23" s="91">
        <v>46874</v>
      </c>
      <c r="P23" s="10" t="s">
        <v>2984</v>
      </c>
      <c r="Q23" s="10" t="s">
        <v>2887</v>
      </c>
      <c r="R23" s="10" t="s">
        <v>2860</v>
      </c>
      <c r="S23" s="478">
        <v>133.79</v>
      </c>
      <c r="T23" s="820" t="s">
        <v>2985</v>
      </c>
      <c r="U23" s="382" t="s">
        <v>2934</v>
      </c>
      <c r="V23" s="377" t="s">
        <v>2370</v>
      </c>
      <c r="W23" s="7" t="s">
        <v>2986</v>
      </c>
      <c r="X23" s="373" t="s">
        <v>2880</v>
      </c>
      <c r="Y23" s="481"/>
      <c r="Z23" s="349" t="s">
        <v>2071</v>
      </c>
      <c r="AA23" s="481"/>
      <c r="AB23" s="68" t="s">
        <v>2987</v>
      </c>
      <c r="AC23" s="8" t="s">
        <v>2988</v>
      </c>
      <c r="AD23" s="83" t="s">
        <v>2071</v>
      </c>
      <c r="AE23" s="67">
        <f t="shared" si="0"/>
        <v>641.12</v>
      </c>
      <c r="AF23" s="162" t="s">
        <v>2989</v>
      </c>
      <c r="AG23" s="78">
        <v>46001</v>
      </c>
      <c r="AH23" s="7"/>
    </row>
    <row r="24" spans="1:34">
      <c r="A24" s="322">
        <v>515</v>
      </c>
      <c r="B24" s="3" t="s">
        <v>58</v>
      </c>
      <c r="C24" s="3" t="s">
        <v>95</v>
      </c>
      <c r="D24" s="3" t="s">
        <v>2286</v>
      </c>
      <c r="E24" s="3" t="s">
        <v>2865</v>
      </c>
      <c r="F24" s="295">
        <v>45904</v>
      </c>
      <c r="G24" s="295">
        <v>47000</v>
      </c>
      <c r="H24" s="298">
        <v>11008911</v>
      </c>
      <c r="I24" s="3" t="s">
        <v>2785</v>
      </c>
      <c r="J24" s="3" t="s">
        <v>2866</v>
      </c>
      <c r="K24" s="331">
        <v>385</v>
      </c>
      <c r="L24" s="369" t="s">
        <v>2287</v>
      </c>
      <c r="M24" s="710">
        <v>2194222</v>
      </c>
      <c r="N24" s="397">
        <v>45572</v>
      </c>
      <c r="O24" s="397">
        <v>46302</v>
      </c>
      <c r="P24" s="398">
        <v>2194222</v>
      </c>
      <c r="Q24" s="396" t="s">
        <v>2867</v>
      </c>
      <c r="R24" s="396" t="s">
        <v>2860</v>
      </c>
      <c r="S24" s="441">
        <v>298.89999999999998</v>
      </c>
      <c r="T24" s="1090"/>
      <c r="U24" s="8"/>
      <c r="V24" s="184"/>
      <c r="X24" s="481"/>
      <c r="Y24" s="374"/>
      <c r="Z24" s="375" t="s">
        <v>2071</v>
      </c>
      <c r="AA24" s="349"/>
      <c r="AB24" s="6" t="s">
        <v>2990</v>
      </c>
      <c r="AC24" s="376" t="s">
        <v>2991</v>
      </c>
      <c r="AD24" s="376" t="s">
        <v>2071</v>
      </c>
      <c r="AE24" s="67">
        <f t="shared" si="0"/>
        <v>683.9</v>
      </c>
      <c r="AF24" s="6" t="s">
        <v>2992</v>
      </c>
      <c r="AG24" s="78">
        <v>45904</v>
      </c>
      <c r="AH24" s="7"/>
    </row>
    <row r="25" spans="1:34">
      <c r="A25" s="775">
        <v>517</v>
      </c>
      <c r="B25" s="174" t="s">
        <v>204</v>
      </c>
      <c r="C25" s="174" t="s">
        <v>200</v>
      </c>
      <c r="D25" s="174" t="s">
        <v>2284</v>
      </c>
      <c r="E25" s="296" t="s">
        <v>2857</v>
      </c>
      <c r="F25" s="378">
        <v>46000</v>
      </c>
      <c r="G25" s="378">
        <v>47096</v>
      </c>
      <c r="H25" s="6" t="s">
        <v>2993</v>
      </c>
      <c r="I25" s="174" t="s">
        <v>2333</v>
      </c>
      <c r="J25" s="385" t="s">
        <v>1951</v>
      </c>
      <c r="K25" s="514">
        <v>444.7</v>
      </c>
      <c r="L25" s="10" t="s">
        <v>2297</v>
      </c>
      <c r="M25" s="218">
        <v>23348</v>
      </c>
      <c r="N25" s="630">
        <v>46072</v>
      </c>
      <c r="O25" s="78">
        <v>46802</v>
      </c>
      <c r="P25" s="7" t="s">
        <v>2994</v>
      </c>
      <c r="Q25" s="8" t="s">
        <v>2333</v>
      </c>
      <c r="R25" s="8" t="s">
        <v>1951</v>
      </c>
      <c r="S25" s="439">
        <v>350.62</v>
      </c>
      <c r="T25" s="373"/>
      <c r="U25" s="184" t="s">
        <v>2071</v>
      </c>
      <c r="V25" s="184" t="s">
        <v>2071</v>
      </c>
      <c r="W25" s="184" t="s">
        <v>2071</v>
      </c>
      <c r="X25" s="349" t="s">
        <v>2995</v>
      </c>
      <c r="Y25" s="373"/>
      <c r="Z25" s="375" t="s">
        <v>2071</v>
      </c>
      <c r="AA25" s="349"/>
      <c r="AB25" s="68" t="s">
        <v>2996</v>
      </c>
      <c r="AC25" s="8" t="s">
        <v>2997</v>
      </c>
      <c r="AD25" s="83" t="s">
        <v>2998</v>
      </c>
      <c r="AE25" s="67">
        <f t="shared" si="0"/>
        <v>795.31999999999994</v>
      </c>
      <c r="AF25" s="162" t="s">
        <v>2999</v>
      </c>
      <c r="AG25" s="78">
        <v>46072</v>
      </c>
      <c r="AH25" s="7"/>
    </row>
    <row r="26" spans="1:34">
      <c r="A26" s="320">
        <v>518</v>
      </c>
      <c r="B26" s="367" t="s">
        <v>58</v>
      </c>
      <c r="C26" s="367" t="s">
        <v>205</v>
      </c>
      <c r="D26" s="385" t="s">
        <v>2284</v>
      </c>
      <c r="E26" s="17" t="s">
        <v>2857</v>
      </c>
      <c r="F26" s="84">
        <v>45951</v>
      </c>
      <c r="G26" s="84">
        <v>47047</v>
      </c>
      <c r="H26" s="388" t="s">
        <v>3000</v>
      </c>
      <c r="I26" s="17" t="s">
        <v>1964</v>
      </c>
      <c r="J26" s="17" t="s">
        <v>1951</v>
      </c>
      <c r="K26" s="405">
        <v>439.27</v>
      </c>
      <c r="L26" s="404" t="s">
        <v>2287</v>
      </c>
      <c r="M26" s="710">
        <v>2194210</v>
      </c>
      <c r="N26" s="657">
        <v>45595</v>
      </c>
      <c r="O26" s="397">
        <v>46325</v>
      </c>
      <c r="P26" s="398">
        <v>2194210</v>
      </c>
      <c r="Q26" s="404" t="s">
        <v>2859</v>
      </c>
      <c r="R26" s="404" t="s">
        <v>2860</v>
      </c>
      <c r="S26" s="478">
        <v>298.89999999999998</v>
      </c>
      <c r="T26" s="373"/>
      <c r="U26" s="184" t="s">
        <v>2071</v>
      </c>
      <c r="V26" s="184" t="s">
        <v>2071</v>
      </c>
      <c r="W26" s="184" t="s">
        <v>2071</v>
      </c>
      <c r="X26" s="184"/>
      <c r="Y26" s="381"/>
      <c r="Z26" s="438" t="s">
        <v>2071</v>
      </c>
      <c r="AA26" s="184"/>
      <c r="AB26" s="68" t="s">
        <v>3001</v>
      </c>
      <c r="AC26" s="8" t="s">
        <v>3002</v>
      </c>
      <c r="AD26" s="181" t="s">
        <v>2071</v>
      </c>
      <c r="AE26" s="85">
        <f t="shared" si="0"/>
        <v>738.17</v>
      </c>
      <c r="AF26" s="169" t="s">
        <v>3003</v>
      </c>
      <c r="AG26" s="84">
        <v>45951</v>
      </c>
      <c r="AH26" s="7"/>
    </row>
    <row r="27" spans="1:34">
      <c r="A27" s="780">
        <v>519</v>
      </c>
      <c r="B27" s="3" t="s">
        <v>215</v>
      </c>
      <c r="C27" s="83" t="s">
        <v>210</v>
      </c>
      <c r="D27" s="8" t="s">
        <v>2297</v>
      </c>
      <c r="E27" s="218">
        <v>23348</v>
      </c>
      <c r="F27" s="78">
        <v>46100</v>
      </c>
      <c r="G27" s="78">
        <v>46831</v>
      </c>
      <c r="H27" s="7" t="s">
        <v>3004</v>
      </c>
      <c r="I27" s="8" t="s">
        <v>2333</v>
      </c>
      <c r="J27" s="8" t="s">
        <v>1951</v>
      </c>
      <c r="K27" s="331">
        <v>352.8</v>
      </c>
      <c r="L27" s="96" t="s">
        <v>2284</v>
      </c>
      <c r="M27" s="3" t="s">
        <v>2918</v>
      </c>
      <c r="N27" s="78">
        <v>45951</v>
      </c>
      <c r="O27" s="78">
        <v>47047</v>
      </c>
      <c r="P27" s="81" t="s">
        <v>3005</v>
      </c>
      <c r="Q27" s="69" t="s">
        <v>2876</v>
      </c>
      <c r="R27" s="17" t="s">
        <v>2860</v>
      </c>
      <c r="S27" s="434">
        <v>226.44</v>
      </c>
      <c r="T27" s="349"/>
      <c r="U27" s="184" t="s">
        <v>2071</v>
      </c>
      <c r="V27" s="184" t="s">
        <v>2071</v>
      </c>
      <c r="W27" s="184" t="s">
        <v>2071</v>
      </c>
      <c r="X27" s="184"/>
      <c r="Y27" s="467"/>
      <c r="Z27" s="375" t="s">
        <v>2071</v>
      </c>
      <c r="AA27" s="461"/>
      <c r="AB27" s="8" t="s">
        <v>3006</v>
      </c>
      <c r="AC27" s="83" t="s">
        <v>3007</v>
      </c>
      <c r="AD27" s="8" t="s">
        <v>3008</v>
      </c>
      <c r="AE27" s="67">
        <f t="shared" si="0"/>
        <v>579.24</v>
      </c>
      <c r="AF27" s="8" t="s">
        <v>3009</v>
      </c>
      <c r="AG27" s="78">
        <v>46100</v>
      </c>
      <c r="AH27" s="65"/>
    </row>
    <row r="28" spans="1:34">
      <c r="A28" s="776">
        <v>520</v>
      </c>
      <c r="B28" s="367" t="s">
        <v>58</v>
      </c>
      <c r="C28" s="94" t="s">
        <v>221</v>
      </c>
      <c r="D28" s="367" t="s">
        <v>2284</v>
      </c>
      <c r="E28" s="367" t="s">
        <v>2857</v>
      </c>
      <c r="F28" s="237">
        <v>45994</v>
      </c>
      <c r="G28" s="237">
        <v>47090</v>
      </c>
      <c r="H28" s="380" t="s">
        <v>3010</v>
      </c>
      <c r="I28" s="94" t="s">
        <v>2333</v>
      </c>
      <c r="J28" s="94" t="s">
        <v>1951</v>
      </c>
      <c r="K28" s="405">
        <v>439.27</v>
      </c>
      <c r="L28" s="402" t="s">
        <v>2287</v>
      </c>
      <c r="M28" s="398">
        <v>2194258</v>
      </c>
      <c r="N28" s="397">
        <v>45595</v>
      </c>
      <c r="O28" s="397">
        <v>46690</v>
      </c>
      <c r="P28" s="398">
        <v>2194258</v>
      </c>
      <c r="Q28" s="400" t="s">
        <v>2859</v>
      </c>
      <c r="R28" s="400" t="s">
        <v>2860</v>
      </c>
      <c r="S28" s="85">
        <v>298.89999999999998</v>
      </c>
      <c r="T28" s="448"/>
      <c r="U28" s="184" t="s">
        <v>2071</v>
      </c>
      <c r="V28" s="184" t="s">
        <v>2071</v>
      </c>
      <c r="W28" s="184" t="s">
        <v>2071</v>
      </c>
      <c r="X28" s="449"/>
      <c r="Y28" s="466"/>
      <c r="Z28" s="349" t="s">
        <v>2071</v>
      </c>
      <c r="AA28" s="184"/>
      <c r="AB28" s="8" t="s">
        <v>3011</v>
      </c>
      <c r="AC28" s="8" t="s">
        <v>3012</v>
      </c>
      <c r="AD28" s="376" t="s">
        <v>3013</v>
      </c>
      <c r="AE28" s="92">
        <f t="shared" si="0"/>
        <v>738.17</v>
      </c>
      <c r="AF28" s="16" t="s">
        <v>3014</v>
      </c>
      <c r="AG28" s="91">
        <v>45994</v>
      </c>
      <c r="AH28" s="8"/>
    </row>
    <row r="29" spans="1:34">
      <c r="A29" s="780">
        <v>525</v>
      </c>
      <c r="B29" s="3" t="s">
        <v>83</v>
      </c>
      <c r="C29" s="8" t="s">
        <v>78</v>
      </c>
      <c r="D29" s="3" t="s">
        <v>2284</v>
      </c>
      <c r="E29" s="3" t="s">
        <v>2857</v>
      </c>
      <c r="F29" s="78">
        <v>45967</v>
      </c>
      <c r="G29" s="78">
        <v>47063</v>
      </c>
      <c r="H29" s="81" t="s">
        <v>3015</v>
      </c>
      <c r="I29" s="8" t="s">
        <v>2333</v>
      </c>
      <c r="J29" s="8" t="s">
        <v>1951</v>
      </c>
      <c r="K29" s="509">
        <v>450.25</v>
      </c>
      <c r="L29" s="8" t="s">
        <v>1954</v>
      </c>
      <c r="M29" s="8" t="s">
        <v>2874</v>
      </c>
      <c r="N29" s="78">
        <v>46100</v>
      </c>
      <c r="O29" s="78">
        <v>47196</v>
      </c>
      <c r="P29" s="273" t="s">
        <v>3016</v>
      </c>
      <c r="Q29" s="8" t="s">
        <v>2333</v>
      </c>
      <c r="R29" s="8" t="s">
        <v>1951</v>
      </c>
      <c r="S29" s="439">
        <v>380</v>
      </c>
      <c r="T29" s="822" t="s">
        <v>3017</v>
      </c>
      <c r="U29" s="382" t="s">
        <v>2934</v>
      </c>
      <c r="V29" s="377" t="s">
        <v>2370</v>
      </c>
      <c r="W29" s="8">
        <v>11935367311</v>
      </c>
      <c r="X29" s="373" t="s">
        <v>2880</v>
      </c>
      <c r="Y29" s="349"/>
      <c r="Z29" s="375" t="s">
        <v>2071</v>
      </c>
      <c r="AA29" s="349"/>
      <c r="AB29" s="17" t="s">
        <v>3018</v>
      </c>
      <c r="AC29" s="181" t="s">
        <v>3019</v>
      </c>
      <c r="AD29" s="8"/>
      <c r="AE29" s="786">
        <f t="shared" si="0"/>
        <v>830.25</v>
      </c>
      <c r="AF29" s="463" t="s">
        <v>3020</v>
      </c>
      <c r="AG29" s="78">
        <v>46100</v>
      </c>
      <c r="AH29" s="7"/>
    </row>
    <row r="30" spans="1:34">
      <c r="A30" s="320">
        <v>526</v>
      </c>
      <c r="B30" s="367" t="s">
        <v>50</v>
      </c>
      <c r="C30" s="94" t="s">
        <v>232</v>
      </c>
      <c r="D30" s="94" t="s">
        <v>1956</v>
      </c>
      <c r="E30" s="367" t="s">
        <v>2917</v>
      </c>
      <c r="F30" s="237">
        <v>45968</v>
      </c>
      <c r="G30" s="237">
        <v>47064</v>
      </c>
      <c r="H30" s="380">
        <v>10079710</v>
      </c>
      <c r="I30" s="94" t="s">
        <v>2333</v>
      </c>
      <c r="J30" s="6" t="s">
        <v>1951</v>
      </c>
      <c r="K30" s="331">
        <v>360</v>
      </c>
      <c r="L30" s="402" t="s">
        <v>2287</v>
      </c>
      <c r="M30" s="398">
        <v>2194215</v>
      </c>
      <c r="N30" s="397">
        <v>45572</v>
      </c>
      <c r="O30" s="397">
        <v>46302</v>
      </c>
      <c r="P30" s="398">
        <v>2194215</v>
      </c>
      <c r="Q30" s="396" t="s">
        <v>2867</v>
      </c>
      <c r="R30" s="396" t="s">
        <v>2860</v>
      </c>
      <c r="S30" s="441">
        <v>298.89999999999998</v>
      </c>
      <c r="T30" s="389"/>
      <c r="U30" s="184" t="s">
        <v>2071</v>
      </c>
      <c r="V30" s="184" t="s">
        <v>2071</v>
      </c>
      <c r="W30" s="449" t="s">
        <v>2071</v>
      </c>
      <c r="X30" s="437"/>
      <c r="Y30" s="21"/>
      <c r="Z30" s="589" t="s">
        <v>2071</v>
      </c>
      <c r="AA30" s="409"/>
      <c r="AB30" s="17" t="s">
        <v>3021</v>
      </c>
      <c r="AC30" s="17" t="s">
        <v>3022</v>
      </c>
      <c r="AD30" s="94" t="s">
        <v>2071</v>
      </c>
      <c r="AE30" s="590">
        <f t="shared" si="0"/>
        <v>658.9</v>
      </c>
      <c r="AF30" s="6" t="s">
        <v>3023</v>
      </c>
      <c r="AG30" s="78">
        <v>45968</v>
      </c>
      <c r="AH30" s="7"/>
    </row>
    <row r="31" spans="1:34">
      <c r="A31" s="780">
        <v>527</v>
      </c>
      <c r="B31" s="3" t="s">
        <v>239</v>
      </c>
      <c r="C31" s="3" t="s">
        <v>238</v>
      </c>
      <c r="D31" s="3" t="s">
        <v>2284</v>
      </c>
      <c r="E31" s="3" t="s">
        <v>2857</v>
      </c>
      <c r="F31" s="295">
        <v>45999</v>
      </c>
      <c r="G31" s="78">
        <v>47095</v>
      </c>
      <c r="H31" s="81" t="s">
        <v>3024</v>
      </c>
      <c r="I31" s="3" t="s">
        <v>2333</v>
      </c>
      <c r="J31" s="3" t="s">
        <v>1951</v>
      </c>
      <c r="K31" s="588">
        <v>450.25</v>
      </c>
      <c r="L31" s="8" t="s">
        <v>2299</v>
      </c>
      <c r="M31" s="576" t="s">
        <v>2940</v>
      </c>
      <c r="N31" s="78">
        <v>46098</v>
      </c>
      <c r="O31" s="78">
        <v>46829</v>
      </c>
      <c r="P31" s="631" t="s">
        <v>3025</v>
      </c>
      <c r="Q31" s="8" t="s">
        <v>2876</v>
      </c>
      <c r="R31" s="8" t="s">
        <v>2860</v>
      </c>
      <c r="S31" s="439">
        <v>250</v>
      </c>
      <c r="T31" s="822" t="s">
        <v>3026</v>
      </c>
      <c r="U31" s="382" t="s">
        <v>2934</v>
      </c>
      <c r="V31" s="377" t="s">
        <v>2024</v>
      </c>
      <c r="W31" s="7" t="s">
        <v>3027</v>
      </c>
      <c r="X31" s="349" t="s">
        <v>3028</v>
      </c>
      <c r="Y31" s="349"/>
      <c r="Z31" s="349" t="s">
        <v>2071</v>
      </c>
      <c r="AA31" s="349"/>
      <c r="AB31" s="8" t="s">
        <v>3029</v>
      </c>
      <c r="AC31" s="8" t="s">
        <v>3030</v>
      </c>
      <c r="AD31" s="8"/>
      <c r="AE31" s="67">
        <f t="shared" si="0"/>
        <v>700.25</v>
      </c>
      <c r="AF31" s="8" t="s">
        <v>3031</v>
      </c>
      <c r="AG31" s="91">
        <v>46098</v>
      </c>
      <c r="AH31" s="11"/>
    </row>
    <row r="32" spans="1:34">
      <c r="A32" s="320">
        <v>529</v>
      </c>
      <c r="B32" s="379" t="s">
        <v>50</v>
      </c>
      <c r="C32" s="367" t="s">
        <v>240</v>
      </c>
      <c r="D32" s="385" t="s">
        <v>2284</v>
      </c>
      <c r="E32" s="94" t="s">
        <v>2857</v>
      </c>
      <c r="F32" s="237">
        <v>45950</v>
      </c>
      <c r="G32" s="237">
        <v>47046</v>
      </c>
      <c r="H32" s="380" t="s">
        <v>3032</v>
      </c>
      <c r="I32" s="94" t="s">
        <v>2333</v>
      </c>
      <c r="J32" s="94" t="s">
        <v>1951</v>
      </c>
      <c r="K32" s="405">
        <v>433.98</v>
      </c>
      <c r="L32" s="402" t="s">
        <v>2287</v>
      </c>
      <c r="M32" s="510">
        <v>2194692</v>
      </c>
      <c r="N32" s="444">
        <v>45572</v>
      </c>
      <c r="O32" s="444">
        <v>46302</v>
      </c>
      <c r="P32" s="510">
        <v>2194692</v>
      </c>
      <c r="Q32" s="404" t="s">
        <v>2859</v>
      </c>
      <c r="R32" s="404" t="s">
        <v>2860</v>
      </c>
      <c r="S32" s="478">
        <v>304.02</v>
      </c>
      <c r="T32" s="374"/>
      <c r="U32" s="184" t="s">
        <v>2071</v>
      </c>
      <c r="V32" s="184" t="s">
        <v>2071</v>
      </c>
      <c r="W32" s="461" t="s">
        <v>2071</v>
      </c>
      <c r="X32" s="461"/>
      <c r="Y32" s="479"/>
      <c r="Z32" s="582" t="s">
        <v>2071</v>
      </c>
      <c r="AA32" s="461"/>
      <c r="AB32" s="96" t="s">
        <v>3033</v>
      </c>
      <c r="AC32" s="10" t="s">
        <v>3034</v>
      </c>
      <c r="AD32" s="16" t="s">
        <v>3035</v>
      </c>
      <c r="AE32" s="92">
        <f t="shared" si="0"/>
        <v>738</v>
      </c>
      <c r="AF32" s="96" t="s">
        <v>3036</v>
      </c>
      <c r="AG32" s="91">
        <v>45951</v>
      </c>
      <c r="AH32" s="104"/>
    </row>
    <row r="33" spans="1:34">
      <c r="A33" s="784">
        <v>531</v>
      </c>
      <c r="B33" s="3" t="s">
        <v>251</v>
      </c>
      <c r="C33" s="8" t="s">
        <v>250</v>
      </c>
      <c r="D33" s="8" t="s">
        <v>2286</v>
      </c>
      <c r="E33" s="3" t="s">
        <v>2865</v>
      </c>
      <c r="F33" s="78">
        <v>45954</v>
      </c>
      <c r="G33" s="78">
        <v>47050</v>
      </c>
      <c r="H33" s="8">
        <v>31003593</v>
      </c>
      <c r="I33" s="8" t="s">
        <v>2785</v>
      </c>
      <c r="J33" s="8" t="s">
        <v>2866</v>
      </c>
      <c r="K33" s="331">
        <v>385</v>
      </c>
      <c r="L33" s="8" t="s">
        <v>1954</v>
      </c>
      <c r="M33" s="407">
        <v>3249939</v>
      </c>
      <c r="N33" s="237">
        <v>45967</v>
      </c>
      <c r="O33" s="237">
        <v>46697</v>
      </c>
      <c r="P33" s="380" t="s">
        <v>3037</v>
      </c>
      <c r="Q33" s="94" t="s">
        <v>2876</v>
      </c>
      <c r="R33" s="376" t="s">
        <v>2860</v>
      </c>
      <c r="S33" s="441">
        <v>94.9</v>
      </c>
      <c r="T33" s="349"/>
      <c r="U33" s="184" t="s">
        <v>2071</v>
      </c>
      <c r="V33" s="184" t="s">
        <v>2071</v>
      </c>
      <c r="W33" s="184" t="s">
        <v>2071</v>
      </c>
      <c r="X33" s="349"/>
      <c r="Y33" s="505"/>
      <c r="Z33" s="349" t="s">
        <v>2071</v>
      </c>
      <c r="AA33" s="349"/>
      <c r="AB33" s="506" t="s">
        <v>3038</v>
      </c>
      <c r="AC33" s="8" t="s">
        <v>3039</v>
      </c>
      <c r="AD33" s="83"/>
      <c r="AE33" s="67">
        <f t="shared" si="0"/>
        <v>479.9</v>
      </c>
      <c r="AF33" s="68" t="s">
        <v>3040</v>
      </c>
      <c r="AG33" s="78">
        <v>45967</v>
      </c>
      <c r="AH33" s="433"/>
    </row>
    <row r="34" spans="1:34">
      <c r="A34" s="780">
        <v>534</v>
      </c>
      <c r="B34" s="174" t="s">
        <v>58</v>
      </c>
      <c r="C34" s="10" t="s">
        <v>258</v>
      </c>
      <c r="D34" s="10" t="s">
        <v>2285</v>
      </c>
      <c r="E34" s="10" t="s">
        <v>3041</v>
      </c>
      <c r="F34" s="678">
        <v>46029</v>
      </c>
      <c r="G34" s="664">
        <v>47125</v>
      </c>
      <c r="H34" s="10" t="s">
        <v>3041</v>
      </c>
      <c r="I34" s="10" t="s">
        <v>2785</v>
      </c>
      <c r="J34" s="10" t="s">
        <v>1951</v>
      </c>
      <c r="K34" s="478">
        <v>430</v>
      </c>
      <c r="L34" s="10" t="s">
        <v>2284</v>
      </c>
      <c r="M34" s="174" t="s">
        <v>3042</v>
      </c>
      <c r="N34" s="84">
        <v>46206</v>
      </c>
      <c r="O34" s="84">
        <v>47302</v>
      </c>
      <c r="P34" s="388" t="s">
        <v>3043</v>
      </c>
      <c r="Q34" s="17" t="s">
        <v>2333</v>
      </c>
      <c r="R34" s="17" t="s">
        <v>1951</v>
      </c>
      <c r="S34" s="1068">
        <v>403.13</v>
      </c>
      <c r="T34" s="373"/>
      <c r="U34" s="184" t="s">
        <v>2071</v>
      </c>
      <c r="V34" s="184" t="s">
        <v>2071</v>
      </c>
      <c r="W34" s="184" t="s">
        <v>2071</v>
      </c>
      <c r="X34" s="349"/>
      <c r="Y34" s="627"/>
      <c r="Z34" s="375" t="s">
        <v>2071</v>
      </c>
      <c r="AA34" s="349"/>
      <c r="AB34" s="68" t="s">
        <v>3044</v>
      </c>
      <c r="AC34" s="8" t="s">
        <v>3045</v>
      </c>
      <c r="AD34" s="83" t="s">
        <v>3046</v>
      </c>
      <c r="AE34" s="67">
        <f t="shared" si="0"/>
        <v>833.13</v>
      </c>
      <c r="AF34" s="68" t="s">
        <v>3047</v>
      </c>
      <c r="AG34" s="78">
        <v>46224</v>
      </c>
      <c r="AH34" s="7"/>
    </row>
    <row r="35" spans="1:34">
      <c r="A35" s="776">
        <v>535</v>
      </c>
      <c r="B35" s="367" t="s">
        <v>263</v>
      </c>
      <c r="C35" s="367" t="s">
        <v>259</v>
      </c>
      <c r="D35" s="367" t="s">
        <v>2284</v>
      </c>
      <c r="E35" s="379" t="s">
        <v>2857</v>
      </c>
      <c r="F35" s="378">
        <v>45999</v>
      </c>
      <c r="G35" s="391">
        <v>47095</v>
      </c>
      <c r="H35" s="94" t="s">
        <v>3048</v>
      </c>
      <c r="I35" s="367" t="s">
        <v>2333</v>
      </c>
      <c r="J35" s="367" t="s">
        <v>1951</v>
      </c>
      <c r="K35" s="514">
        <v>447.46</v>
      </c>
      <c r="L35" s="10" t="s">
        <v>1954</v>
      </c>
      <c r="M35" s="8">
        <v>2194188</v>
      </c>
      <c r="N35" s="78">
        <v>45778</v>
      </c>
      <c r="O35" s="78">
        <v>46508</v>
      </c>
      <c r="P35" s="8" t="s">
        <v>3049</v>
      </c>
      <c r="Q35" s="8" t="s">
        <v>2876</v>
      </c>
      <c r="R35" s="8" t="s">
        <v>2860</v>
      </c>
      <c r="S35" s="509">
        <v>129.99</v>
      </c>
      <c r="T35" s="448"/>
      <c r="U35" s="184" t="s">
        <v>2071</v>
      </c>
      <c r="V35" s="184" t="s">
        <v>2071</v>
      </c>
      <c r="W35" s="184" t="s">
        <v>2071</v>
      </c>
      <c r="X35" s="495"/>
      <c r="Y35" s="587"/>
      <c r="Z35" s="375" t="s">
        <v>2071</v>
      </c>
      <c r="AA35" s="481"/>
      <c r="AB35" s="69" t="s">
        <v>3050</v>
      </c>
      <c r="AC35" s="8" t="s">
        <v>3051</v>
      </c>
      <c r="AD35" s="83" t="s">
        <v>3052</v>
      </c>
      <c r="AE35" s="67">
        <f t="shared" si="0"/>
        <v>577.45000000000005</v>
      </c>
      <c r="AF35" s="68" t="s">
        <v>3053</v>
      </c>
      <c r="AG35" s="78">
        <v>45999</v>
      </c>
      <c r="AH35" s="104"/>
    </row>
    <row r="36" spans="1:34">
      <c r="A36" s="780">
        <v>536</v>
      </c>
      <c r="B36" s="458" t="s">
        <v>251</v>
      </c>
      <c r="C36" s="17" t="s">
        <v>250</v>
      </c>
      <c r="D36" s="17" t="s">
        <v>1956</v>
      </c>
      <c r="E36" s="154" t="s">
        <v>2917</v>
      </c>
      <c r="F36" s="769">
        <v>45953</v>
      </c>
      <c r="G36" s="84">
        <v>47049</v>
      </c>
      <c r="H36" s="770">
        <v>10079638</v>
      </c>
      <c r="I36" s="17" t="s">
        <v>2333</v>
      </c>
      <c r="J36" s="17" t="s">
        <v>1951</v>
      </c>
      <c r="K36" s="509">
        <v>360</v>
      </c>
      <c r="L36" s="379" t="s">
        <v>2284</v>
      </c>
      <c r="M36" s="174" t="s">
        <v>2918</v>
      </c>
      <c r="N36" s="557">
        <v>45951</v>
      </c>
      <c r="O36" s="347">
        <v>47047</v>
      </c>
      <c r="P36" s="585" t="s">
        <v>3054</v>
      </c>
      <c r="Q36" s="10" t="s">
        <v>2876</v>
      </c>
      <c r="R36" s="16" t="s">
        <v>2860</v>
      </c>
      <c r="S36" s="331">
        <v>227.82</v>
      </c>
      <c r="T36" s="848"/>
      <c r="U36" s="382"/>
      <c r="V36" s="377"/>
      <c r="W36" s="7"/>
      <c r="X36" s="373"/>
      <c r="Y36" s="377"/>
      <c r="Z36" s="375" t="s">
        <v>2071</v>
      </c>
      <c r="AA36" s="377"/>
      <c r="AB36" s="8" t="s">
        <v>3055</v>
      </c>
      <c r="AC36" s="96" t="s">
        <v>3056</v>
      </c>
      <c r="AD36" s="16" t="s">
        <v>2071</v>
      </c>
      <c r="AE36" s="67">
        <f t="shared" si="0"/>
        <v>587.81999999999994</v>
      </c>
      <c r="AF36" s="463" t="s">
        <v>3057</v>
      </c>
      <c r="AG36" s="89">
        <v>45951</v>
      </c>
      <c r="AH36" s="11"/>
    </row>
    <row r="37" spans="1:34">
      <c r="A37" s="785">
        <v>544</v>
      </c>
      <c r="B37" s="414" t="s">
        <v>58</v>
      </c>
      <c r="C37" s="417" t="s">
        <v>95</v>
      </c>
      <c r="D37" s="417" t="s">
        <v>2286</v>
      </c>
      <c r="E37" s="3" t="s">
        <v>2865</v>
      </c>
      <c r="F37" s="415">
        <v>45980</v>
      </c>
      <c r="G37" s="415">
        <v>47076</v>
      </c>
      <c r="H37" s="417">
        <v>11019435</v>
      </c>
      <c r="I37" s="369" t="s">
        <v>2785</v>
      </c>
      <c r="J37" s="369" t="s">
        <v>2866</v>
      </c>
      <c r="K37" s="813">
        <v>385</v>
      </c>
      <c r="L37" s="442" t="s">
        <v>2287</v>
      </c>
      <c r="M37" s="764">
        <v>2194219</v>
      </c>
      <c r="N37" s="454">
        <v>45595</v>
      </c>
      <c r="O37" s="454">
        <v>46325</v>
      </c>
      <c r="P37" s="455">
        <v>2194219</v>
      </c>
      <c r="Q37" s="455" t="s">
        <v>2859</v>
      </c>
      <c r="R37" s="615" t="s">
        <v>2860</v>
      </c>
      <c r="S37" s="614">
        <v>298.89999999999998</v>
      </c>
      <c r="T37" s="149"/>
      <c r="U37" s="34" t="s">
        <v>2071</v>
      </c>
      <c r="V37" s="34" t="s">
        <v>2071</v>
      </c>
      <c r="W37" s="34" t="s">
        <v>2071</v>
      </c>
      <c r="X37" s="46"/>
      <c r="Y37" s="46"/>
      <c r="Z37" s="37" t="s">
        <v>2071</v>
      </c>
      <c r="AA37" s="32"/>
      <c r="AB37" s="54" t="s">
        <v>3058</v>
      </c>
      <c r="AC37" s="26" t="s">
        <v>3059</v>
      </c>
      <c r="AD37" s="26" t="s">
        <v>3060</v>
      </c>
      <c r="AE37" s="317">
        <f t="shared" si="0"/>
        <v>683.9</v>
      </c>
      <c r="AF37" s="31" t="s">
        <v>3061</v>
      </c>
      <c r="AG37" s="40">
        <v>45805</v>
      </c>
      <c r="AH37" s="24"/>
    </row>
    <row r="38" spans="1:34">
      <c r="A38" s="889">
        <v>546</v>
      </c>
      <c r="B38" s="1092" t="s">
        <v>58</v>
      </c>
      <c r="C38" s="681" t="s">
        <v>105</v>
      </c>
      <c r="D38" s="174" t="s">
        <v>2284</v>
      </c>
      <c r="E38" s="10" t="s">
        <v>2857</v>
      </c>
      <c r="F38" s="91">
        <v>45951</v>
      </c>
      <c r="G38" s="91">
        <v>47047</v>
      </c>
      <c r="H38" s="10" t="s">
        <v>3062</v>
      </c>
      <c r="I38" s="10" t="s">
        <v>1964</v>
      </c>
      <c r="J38" s="16" t="s">
        <v>1951</v>
      </c>
      <c r="K38" s="405">
        <v>439.27</v>
      </c>
      <c r="L38" s="369" t="s">
        <v>2287</v>
      </c>
      <c r="M38" s="370">
        <v>2194159</v>
      </c>
      <c r="N38" s="371">
        <v>45595</v>
      </c>
      <c r="O38" s="371">
        <v>46325</v>
      </c>
      <c r="P38" s="370">
        <v>2194159</v>
      </c>
      <c r="Q38" s="369" t="s">
        <v>2859</v>
      </c>
      <c r="R38" s="369" t="s">
        <v>2860</v>
      </c>
      <c r="S38" s="810">
        <v>298.89999999999998</v>
      </c>
      <c r="T38" s="823" t="s">
        <v>3063</v>
      </c>
      <c r="U38" s="382" t="s">
        <v>2934</v>
      </c>
      <c r="V38" s="382" t="s">
        <v>2370</v>
      </c>
      <c r="W38" s="210">
        <v>11935052445</v>
      </c>
      <c r="X38" s="349" t="s">
        <v>2880</v>
      </c>
      <c r="Y38" s="382">
        <v>0</v>
      </c>
      <c r="Z38" s="375" t="s">
        <v>2071</v>
      </c>
      <c r="AA38" s="429"/>
      <c r="AB38" s="181" t="s">
        <v>3064</v>
      </c>
      <c r="AC38" s="181" t="s">
        <v>3065</v>
      </c>
      <c r="AD38" s="181" t="s">
        <v>2071</v>
      </c>
      <c r="AE38" s="67">
        <f t="shared" si="0"/>
        <v>738.17</v>
      </c>
      <c r="AF38" s="69" t="s">
        <v>3066</v>
      </c>
      <c r="AG38" s="78">
        <v>45951</v>
      </c>
    </row>
    <row r="39" spans="1:34">
      <c r="A39" s="319">
        <v>547</v>
      </c>
      <c r="B39" s="292" t="s">
        <v>58</v>
      </c>
      <c r="C39" s="8" t="s">
        <v>286</v>
      </c>
      <c r="D39" s="8" t="s">
        <v>2285</v>
      </c>
      <c r="E39" s="8" t="s">
        <v>3067</v>
      </c>
      <c r="F39" s="630">
        <v>46041</v>
      </c>
      <c r="G39" s="78">
        <v>46771</v>
      </c>
      <c r="H39" s="8" t="s">
        <v>3067</v>
      </c>
      <c r="I39" s="8" t="s">
        <v>2785</v>
      </c>
      <c r="J39" s="8" t="s">
        <v>1951</v>
      </c>
      <c r="K39" s="478">
        <v>430</v>
      </c>
      <c r="L39" s="452" t="s">
        <v>2287</v>
      </c>
      <c r="M39" s="510">
        <v>2194275</v>
      </c>
      <c r="N39" s="444">
        <v>45572</v>
      </c>
      <c r="O39" s="444">
        <v>46302</v>
      </c>
      <c r="P39" s="510">
        <v>2194275</v>
      </c>
      <c r="Q39" s="452" t="s">
        <v>2867</v>
      </c>
      <c r="R39" s="644" t="s">
        <v>2860</v>
      </c>
      <c r="S39" s="331">
        <v>298.89999999999998</v>
      </c>
      <c r="T39" s="373"/>
      <c r="U39" s="184" t="s">
        <v>2071</v>
      </c>
      <c r="V39" s="184" t="s">
        <v>2071</v>
      </c>
      <c r="W39" s="184" t="s">
        <v>2071</v>
      </c>
      <c r="X39" s="349"/>
      <c r="Y39" s="349"/>
      <c r="Z39" s="438" t="s">
        <v>2071</v>
      </c>
      <c r="AA39" s="438"/>
      <c r="AB39" s="69" t="s">
        <v>3068</v>
      </c>
      <c r="AC39" s="17" t="s">
        <v>3069</v>
      </c>
      <c r="AD39" s="181" t="s">
        <v>2071</v>
      </c>
      <c r="AE39" s="67">
        <f t="shared" si="0"/>
        <v>728.9</v>
      </c>
      <c r="AF39" s="69" t="s">
        <v>3070</v>
      </c>
      <c r="AG39" s="84">
        <v>46042</v>
      </c>
      <c r="AH39" s="7"/>
    </row>
    <row r="40" spans="1:34">
      <c r="A40" s="775">
        <v>548</v>
      </c>
      <c r="B40" s="297" t="s">
        <v>263</v>
      </c>
      <c r="C40" s="8" t="s">
        <v>287</v>
      </c>
      <c r="D40" s="3" t="s">
        <v>2284</v>
      </c>
      <c r="E40" s="3" t="s">
        <v>2857</v>
      </c>
      <c r="F40" s="295">
        <v>45996</v>
      </c>
      <c r="G40" s="78">
        <v>47092</v>
      </c>
      <c r="H40" s="81" t="s">
        <v>3071</v>
      </c>
      <c r="I40" s="8" t="s">
        <v>2333</v>
      </c>
      <c r="J40" s="8" t="s">
        <v>1951</v>
      </c>
      <c r="K40" s="514">
        <v>447.46</v>
      </c>
      <c r="L40" s="390" t="s">
        <v>1954</v>
      </c>
      <c r="M40" s="94">
        <v>2194188</v>
      </c>
      <c r="N40" s="237">
        <v>45778</v>
      </c>
      <c r="O40" s="237">
        <v>46508</v>
      </c>
      <c r="P40" s="390" t="s">
        <v>3072</v>
      </c>
      <c r="Q40" s="94" t="s">
        <v>2876</v>
      </c>
      <c r="R40" s="376" t="s">
        <v>2860</v>
      </c>
      <c r="S40" s="67">
        <v>129.99</v>
      </c>
      <c r="T40" s="734"/>
      <c r="U40" s="184"/>
      <c r="V40" s="184"/>
      <c r="W40" s="184"/>
      <c r="X40" s="349"/>
      <c r="Y40" s="349"/>
      <c r="Z40" s="438" t="s">
        <v>2071</v>
      </c>
      <c r="AA40" s="349"/>
      <c r="AB40" s="8" t="s">
        <v>3073</v>
      </c>
      <c r="AC40" s="8" t="s">
        <v>3074</v>
      </c>
      <c r="AD40" s="83" t="s">
        <v>3075</v>
      </c>
      <c r="AE40" s="67">
        <f t="shared" si="0"/>
        <v>577.45000000000005</v>
      </c>
      <c r="AF40" s="68" t="s">
        <v>3076</v>
      </c>
      <c r="AG40" s="78">
        <v>46062</v>
      </c>
      <c r="AH40" s="104"/>
    </row>
    <row r="41" spans="1:34">
      <c r="A41" s="320">
        <v>549</v>
      </c>
      <c r="B41" s="385" t="s">
        <v>58</v>
      </c>
      <c r="C41" s="154" t="s">
        <v>296</v>
      </c>
      <c r="D41" s="154" t="s">
        <v>2284</v>
      </c>
      <c r="E41" s="17" t="s">
        <v>2857</v>
      </c>
      <c r="F41" s="84">
        <v>45951</v>
      </c>
      <c r="G41" s="84">
        <v>47047</v>
      </c>
      <c r="H41" s="388" t="s">
        <v>3077</v>
      </c>
      <c r="I41" s="17" t="s">
        <v>1964</v>
      </c>
      <c r="J41" s="17" t="s">
        <v>1951</v>
      </c>
      <c r="K41" s="405">
        <v>439.27</v>
      </c>
      <c r="L41" s="513" t="s">
        <v>2287</v>
      </c>
      <c r="M41" s="416">
        <v>2194163</v>
      </c>
      <c r="N41" s="415">
        <v>46142</v>
      </c>
      <c r="O41" s="415">
        <v>46873</v>
      </c>
      <c r="P41" s="416">
        <v>2194163</v>
      </c>
      <c r="Q41" s="417" t="s">
        <v>2785</v>
      </c>
      <c r="R41" s="616" t="s">
        <v>1951</v>
      </c>
      <c r="S41" s="331">
        <v>280</v>
      </c>
      <c r="T41" s="448"/>
      <c r="U41" s="184" t="s">
        <v>2071</v>
      </c>
      <c r="V41" s="184" t="s">
        <v>2071</v>
      </c>
      <c r="W41" s="184" t="s">
        <v>2071</v>
      </c>
      <c r="X41" s="184"/>
      <c r="Y41" s="449"/>
      <c r="Z41" s="375" t="s">
        <v>2071</v>
      </c>
      <c r="AA41" s="449"/>
      <c r="AB41" s="8" t="s">
        <v>3078</v>
      </c>
      <c r="AC41" s="8" t="s">
        <v>3079</v>
      </c>
      <c r="AD41" s="83" t="s">
        <v>2071</v>
      </c>
      <c r="AE41" s="67">
        <f t="shared" si="0"/>
        <v>719.27</v>
      </c>
      <c r="AF41" s="68" t="s">
        <v>3080</v>
      </c>
      <c r="AG41" s="78">
        <v>45951</v>
      </c>
      <c r="AH41" s="480"/>
    </row>
    <row r="42" spans="1:34">
      <c r="A42" s="1093">
        <v>550</v>
      </c>
      <c r="B42" s="1094" t="s">
        <v>58</v>
      </c>
      <c r="C42" s="1078" t="s">
        <v>151</v>
      </c>
      <c r="D42" s="154" t="s">
        <v>2286</v>
      </c>
      <c r="E42" s="154" t="s">
        <v>2865</v>
      </c>
      <c r="F42" s="387">
        <v>45904</v>
      </c>
      <c r="G42" s="387">
        <v>47000</v>
      </c>
      <c r="H42" s="469">
        <v>11008908</v>
      </c>
      <c r="I42" s="154" t="s">
        <v>2785</v>
      </c>
      <c r="J42" s="154" t="s">
        <v>2866</v>
      </c>
      <c r="K42" s="331">
        <v>385</v>
      </c>
      <c r="L42" s="3" t="s">
        <v>2284</v>
      </c>
      <c r="M42" s="407" t="s">
        <v>2918</v>
      </c>
      <c r="N42" s="394">
        <v>45951</v>
      </c>
      <c r="O42" s="378">
        <v>47047</v>
      </c>
      <c r="P42" s="368" t="s">
        <v>3081</v>
      </c>
      <c r="Q42" s="458" t="s">
        <v>3082</v>
      </c>
      <c r="R42" s="385" t="s">
        <v>2860</v>
      </c>
      <c r="S42" s="331">
        <v>227.82</v>
      </c>
      <c r="T42" s="373"/>
      <c r="U42" s="184" t="s">
        <v>2071</v>
      </c>
      <c r="V42" s="184" t="s">
        <v>2071</v>
      </c>
      <c r="W42" s="184" t="s">
        <v>2071</v>
      </c>
      <c r="X42" s="377"/>
      <c r="Y42" s="464"/>
      <c r="Z42" s="349" t="s">
        <v>2071</v>
      </c>
      <c r="AA42" s="464"/>
      <c r="AB42" s="68" t="s">
        <v>3083</v>
      </c>
      <c r="AC42" s="8" t="s">
        <v>3084</v>
      </c>
      <c r="AD42" s="83" t="s">
        <v>2071</v>
      </c>
      <c r="AE42" s="67">
        <f t="shared" si="0"/>
        <v>612.81999999999994</v>
      </c>
      <c r="AF42" s="68" t="s">
        <v>3085</v>
      </c>
      <c r="AG42" s="89">
        <v>45951</v>
      </c>
      <c r="AH42" s="7"/>
    </row>
    <row r="43" spans="1:34">
      <c r="A43" s="319">
        <v>553</v>
      </c>
      <c r="B43" s="297" t="s">
        <v>308</v>
      </c>
      <c r="C43" s="939" t="s">
        <v>307</v>
      </c>
      <c r="D43" s="939" t="s">
        <v>1956</v>
      </c>
      <c r="E43" s="946">
        <v>498254216</v>
      </c>
      <c r="F43" s="932">
        <v>45226</v>
      </c>
      <c r="G43" s="947">
        <v>46322</v>
      </c>
      <c r="H43" s="948">
        <v>9307692</v>
      </c>
      <c r="I43" s="934" t="s">
        <v>3086</v>
      </c>
      <c r="J43" s="941" t="s">
        <v>1951</v>
      </c>
      <c r="K43" s="926">
        <v>442.53</v>
      </c>
      <c r="L43" s="390" t="s">
        <v>2284</v>
      </c>
      <c r="M43" s="550" t="s">
        <v>2918</v>
      </c>
      <c r="N43" s="84">
        <v>45959</v>
      </c>
      <c r="O43" s="84">
        <v>47055</v>
      </c>
      <c r="P43" s="100" t="s">
        <v>3087</v>
      </c>
      <c r="Q43" s="17" t="s">
        <v>2859</v>
      </c>
      <c r="R43" s="17" t="s">
        <v>2860</v>
      </c>
      <c r="S43" s="555">
        <v>194.6</v>
      </c>
      <c r="T43" s="374"/>
      <c r="U43" s="184" t="s">
        <v>2071</v>
      </c>
      <c r="V43" s="184" t="s">
        <v>2071</v>
      </c>
      <c r="W43" s="184" t="s">
        <v>2071</v>
      </c>
      <c r="X43" s="349"/>
      <c r="Y43" s="382"/>
      <c r="Z43" s="375" t="s">
        <v>2071</v>
      </c>
      <c r="AA43" s="382"/>
      <c r="AB43" s="8" t="s">
        <v>3088</v>
      </c>
      <c r="AC43" s="8" t="s">
        <v>3089</v>
      </c>
      <c r="AD43" s="83" t="s">
        <v>2071</v>
      </c>
      <c r="AE43" s="67">
        <f t="shared" si="0"/>
        <v>637.13</v>
      </c>
      <c r="AF43" s="68" t="s">
        <v>3090</v>
      </c>
      <c r="AG43" s="78">
        <v>46156</v>
      </c>
      <c r="AH43" s="104" t="s">
        <v>3091</v>
      </c>
    </row>
    <row r="44" spans="1:34">
      <c r="A44" s="775">
        <v>558</v>
      </c>
      <c r="B44" s="367" t="s">
        <v>314</v>
      </c>
      <c r="C44" s="367" t="s">
        <v>309</v>
      </c>
      <c r="D44" s="367" t="s">
        <v>2284</v>
      </c>
      <c r="E44" s="174" t="s">
        <v>2857</v>
      </c>
      <c r="F44" s="378">
        <v>45996</v>
      </c>
      <c r="G44" s="237">
        <v>47092</v>
      </c>
      <c r="H44" s="94" t="s">
        <v>3092</v>
      </c>
      <c r="I44" s="94" t="s">
        <v>2333</v>
      </c>
      <c r="J44" s="94" t="s">
        <v>1951</v>
      </c>
      <c r="K44" s="509">
        <v>450.25</v>
      </c>
      <c r="L44" s="407" t="s">
        <v>1954</v>
      </c>
      <c r="M44" s="1088">
        <v>899925650790</v>
      </c>
      <c r="N44" s="387">
        <v>45778</v>
      </c>
      <c r="O44" s="387">
        <v>46508</v>
      </c>
      <c r="P44" s="298" t="s">
        <v>3093</v>
      </c>
      <c r="Q44" s="3" t="s">
        <v>2887</v>
      </c>
      <c r="R44" s="3" t="s">
        <v>2860</v>
      </c>
      <c r="S44" s="67">
        <v>144.09</v>
      </c>
      <c r="T44" s="373"/>
      <c r="U44" s="184" t="s">
        <v>2071</v>
      </c>
      <c r="V44" s="184" t="s">
        <v>2071</v>
      </c>
      <c r="W44" s="184" t="s">
        <v>2071</v>
      </c>
      <c r="X44" s="349"/>
      <c r="Y44" s="349"/>
      <c r="Z44" s="375" t="s">
        <v>2071</v>
      </c>
      <c r="AA44" s="349"/>
      <c r="AB44" s="8" t="s">
        <v>3094</v>
      </c>
      <c r="AC44" s="8" t="s">
        <v>3095</v>
      </c>
      <c r="AD44" s="83" t="s">
        <v>3096</v>
      </c>
      <c r="AE44" s="67">
        <f t="shared" si="0"/>
        <v>594.34</v>
      </c>
      <c r="AF44" s="68" t="s">
        <v>3097</v>
      </c>
      <c r="AG44" s="78">
        <v>45996</v>
      </c>
      <c r="AH44" s="480"/>
    </row>
    <row r="45" spans="1:34">
      <c r="A45" s="778">
        <v>559</v>
      </c>
      <c r="B45" s="3" t="s">
        <v>58</v>
      </c>
      <c r="C45" s="3" t="s">
        <v>320</v>
      </c>
      <c r="D45" s="3" t="s">
        <v>2284</v>
      </c>
      <c r="E45" s="6" t="s">
        <v>2857</v>
      </c>
      <c r="F45" s="78">
        <v>45951</v>
      </c>
      <c r="G45" s="78">
        <v>47047</v>
      </c>
      <c r="H45" s="81" t="s">
        <v>3098</v>
      </c>
      <c r="I45" s="8" t="s">
        <v>1964</v>
      </c>
      <c r="J45" s="8" t="s">
        <v>1951</v>
      </c>
      <c r="K45" s="439">
        <v>439.27</v>
      </c>
      <c r="L45" s="369" t="s">
        <v>2287</v>
      </c>
      <c r="M45" s="370">
        <v>2194776</v>
      </c>
      <c r="N45" s="371">
        <v>45595</v>
      </c>
      <c r="O45" s="371">
        <v>46690</v>
      </c>
      <c r="P45" s="763">
        <v>2194776</v>
      </c>
      <c r="Q45" s="404" t="s">
        <v>2859</v>
      </c>
      <c r="R45" s="404" t="s">
        <v>2860</v>
      </c>
      <c r="S45" s="478">
        <v>298.89999999999998</v>
      </c>
      <c r="T45" s="840" t="s">
        <v>3099</v>
      </c>
      <c r="U45" s="8" t="s">
        <v>2878</v>
      </c>
      <c r="V45" s="377" t="s">
        <v>2370</v>
      </c>
      <c r="W45" t="s">
        <v>3100</v>
      </c>
      <c r="X45" s="373" t="s">
        <v>2880</v>
      </c>
      <c r="Y45" s="184"/>
      <c r="Z45" s="438" t="s">
        <v>2071</v>
      </c>
      <c r="AA45" s="184"/>
      <c r="AB45" s="8" t="s">
        <v>3101</v>
      </c>
      <c r="AC45" s="8" t="s">
        <v>3102</v>
      </c>
      <c r="AD45" s="83" t="s">
        <v>2071</v>
      </c>
      <c r="AE45" s="67">
        <f t="shared" si="0"/>
        <v>738.17</v>
      </c>
      <c r="AF45" s="68" t="s">
        <v>3103</v>
      </c>
      <c r="AG45" s="89">
        <v>46241</v>
      </c>
      <c r="AH45" s="17" t="s">
        <v>3104</v>
      </c>
    </row>
    <row r="46" spans="1:34">
      <c r="A46" s="774">
        <v>560</v>
      </c>
      <c r="B46" s="367" t="s">
        <v>328</v>
      </c>
      <c r="C46" s="94" t="s">
        <v>327</v>
      </c>
      <c r="D46" s="94" t="s">
        <v>2284</v>
      </c>
      <c r="E46" s="154" t="s">
        <v>2857</v>
      </c>
      <c r="F46" s="237">
        <v>46029</v>
      </c>
      <c r="G46" s="237">
        <v>47125</v>
      </c>
      <c r="H46" s="380" t="s">
        <v>3105</v>
      </c>
      <c r="I46" s="94" t="s">
        <v>2333</v>
      </c>
      <c r="J46" s="94" t="s">
        <v>1951</v>
      </c>
      <c r="K46" s="1089">
        <v>444.7</v>
      </c>
      <c r="L46" s="297" t="s">
        <v>2297</v>
      </c>
      <c r="M46" s="174">
        <v>23348</v>
      </c>
      <c r="N46" s="378">
        <v>46120</v>
      </c>
      <c r="O46" s="378">
        <v>46851</v>
      </c>
      <c r="P46" s="324" t="s">
        <v>3106</v>
      </c>
      <c r="Q46" s="367" t="s">
        <v>2333</v>
      </c>
      <c r="R46" s="367" t="s">
        <v>1951</v>
      </c>
      <c r="S46" s="514">
        <v>350.62</v>
      </c>
      <c r="T46" s="349"/>
      <c r="U46" s="184" t="s">
        <v>2071</v>
      </c>
      <c r="V46" s="184" t="s">
        <v>2071</v>
      </c>
      <c r="W46" s="184" t="s">
        <v>2071</v>
      </c>
      <c r="X46" s="184"/>
      <c r="Y46" s="184"/>
      <c r="Z46" s="375" t="s">
        <v>2071</v>
      </c>
      <c r="AA46" s="184"/>
      <c r="AB46" s="8" t="s">
        <v>3107</v>
      </c>
      <c r="AC46" s="8" t="s">
        <v>3108</v>
      </c>
      <c r="AD46" s="83" t="s">
        <v>2071</v>
      </c>
      <c r="AE46" s="67">
        <f t="shared" si="0"/>
        <v>795.31999999999994</v>
      </c>
      <c r="AF46" s="68" t="s">
        <v>3109</v>
      </c>
      <c r="AG46" s="89">
        <v>46120</v>
      </c>
      <c r="AH46" s="7"/>
    </row>
    <row r="47" spans="1:34">
      <c r="A47" s="319">
        <v>563</v>
      </c>
      <c r="B47" s="3" t="s">
        <v>58</v>
      </c>
      <c r="C47" s="3" t="s">
        <v>95</v>
      </c>
      <c r="D47" s="3" t="s">
        <v>1956</v>
      </c>
      <c r="E47" s="3" t="s">
        <v>2917</v>
      </c>
      <c r="F47" s="670">
        <v>45925</v>
      </c>
      <c r="G47" s="295">
        <v>47021</v>
      </c>
      <c r="H47" s="298">
        <v>10079708</v>
      </c>
      <c r="I47" s="3" t="s">
        <v>2333</v>
      </c>
      <c r="J47" s="3" t="s">
        <v>1951</v>
      </c>
      <c r="K47" s="439">
        <v>360</v>
      </c>
      <c r="L47" s="3" t="s">
        <v>2287</v>
      </c>
      <c r="M47" s="196">
        <v>2194268</v>
      </c>
      <c r="N47" s="295">
        <v>45572</v>
      </c>
      <c r="O47" s="295">
        <v>46302</v>
      </c>
      <c r="P47" s="201">
        <v>2194268</v>
      </c>
      <c r="Q47" s="3" t="s">
        <v>2867</v>
      </c>
      <c r="R47" s="3" t="s">
        <v>2860</v>
      </c>
      <c r="S47" s="331">
        <v>298.89999999999998</v>
      </c>
      <c r="T47" s="389"/>
      <c r="U47" s="184" t="s">
        <v>2071</v>
      </c>
      <c r="V47" s="184" t="s">
        <v>2071</v>
      </c>
      <c r="W47" s="184" t="s">
        <v>2071</v>
      </c>
      <c r="X47" s="389"/>
      <c r="Y47" s="389"/>
      <c r="Z47" s="349" t="s">
        <v>2071</v>
      </c>
      <c r="AA47" s="349"/>
      <c r="AB47" s="8" t="s">
        <v>3110</v>
      </c>
      <c r="AC47" s="8" t="s">
        <v>3111</v>
      </c>
      <c r="AD47" s="83" t="s">
        <v>2071</v>
      </c>
      <c r="AE47" s="67">
        <f t="shared" si="0"/>
        <v>658.9</v>
      </c>
      <c r="AF47" s="68" t="s">
        <v>3112</v>
      </c>
      <c r="AG47" s="78">
        <v>45925</v>
      </c>
      <c r="AH47" s="390"/>
    </row>
    <row r="48" spans="1:34">
      <c r="A48" s="776">
        <v>564</v>
      </c>
      <c r="B48" s="367" t="s">
        <v>58</v>
      </c>
      <c r="C48" s="94" t="s">
        <v>95</v>
      </c>
      <c r="D48" s="367" t="s">
        <v>2284</v>
      </c>
      <c r="E48" s="367" t="s">
        <v>2857</v>
      </c>
      <c r="F48" s="397">
        <v>45966</v>
      </c>
      <c r="G48" s="397">
        <v>47062</v>
      </c>
      <c r="H48" s="380" t="s">
        <v>3113</v>
      </c>
      <c r="I48" s="396" t="s">
        <v>2333</v>
      </c>
      <c r="J48" s="94" t="s">
        <v>1951</v>
      </c>
      <c r="K48" s="405">
        <v>439.27</v>
      </c>
      <c r="L48" s="402" t="s">
        <v>2287</v>
      </c>
      <c r="M48" s="451">
        <v>2194227</v>
      </c>
      <c r="N48" s="401">
        <v>45595</v>
      </c>
      <c r="O48" s="401">
        <v>46690</v>
      </c>
      <c r="P48" s="451">
        <v>2194227</v>
      </c>
      <c r="Q48" s="400" t="s">
        <v>2859</v>
      </c>
      <c r="R48" s="400" t="s">
        <v>2860</v>
      </c>
      <c r="S48" s="443">
        <v>298.89999999999998</v>
      </c>
      <c r="T48" s="448"/>
      <c r="U48" s="184" t="s">
        <v>2071</v>
      </c>
      <c r="V48" s="184" t="s">
        <v>2071</v>
      </c>
      <c r="W48" s="184" t="s">
        <v>2071</v>
      </c>
      <c r="X48" s="449"/>
      <c r="Y48" s="449"/>
      <c r="Z48" s="375" t="s">
        <v>2071</v>
      </c>
      <c r="AA48" s="184"/>
      <c r="AB48" s="8" t="s">
        <v>3114</v>
      </c>
      <c r="AC48" s="8" t="s">
        <v>3115</v>
      </c>
      <c r="AD48" s="83" t="s">
        <v>3116</v>
      </c>
      <c r="AE48" s="67">
        <f t="shared" si="0"/>
        <v>738.17</v>
      </c>
      <c r="AF48" s="68" t="s">
        <v>3117</v>
      </c>
      <c r="AG48" s="78">
        <v>45966</v>
      </c>
      <c r="AH48" s="480"/>
    </row>
    <row r="49" spans="1:34">
      <c r="A49" s="782">
        <v>565</v>
      </c>
      <c r="B49" s="3" t="s">
        <v>112</v>
      </c>
      <c r="C49" s="8" t="s">
        <v>346</v>
      </c>
      <c r="D49" s="3" t="s">
        <v>2286</v>
      </c>
      <c r="E49" s="3" t="s">
        <v>2865</v>
      </c>
      <c r="F49" s="295">
        <v>45897</v>
      </c>
      <c r="G49" s="295">
        <v>46993</v>
      </c>
      <c r="H49" s="298">
        <v>81000176</v>
      </c>
      <c r="I49" s="3" t="s">
        <v>2785</v>
      </c>
      <c r="J49" s="3" t="s">
        <v>2866</v>
      </c>
      <c r="K49" s="331">
        <v>385</v>
      </c>
      <c r="L49" s="8" t="s">
        <v>2284</v>
      </c>
      <c r="M49" s="765" t="s">
        <v>2918</v>
      </c>
      <c r="N49" s="84">
        <v>45945</v>
      </c>
      <c r="O49" s="84">
        <v>47041</v>
      </c>
      <c r="P49" s="388" t="s">
        <v>3118</v>
      </c>
      <c r="Q49" s="17" t="s">
        <v>2859</v>
      </c>
      <c r="R49" s="17" t="s">
        <v>2860</v>
      </c>
      <c r="S49" s="446">
        <v>195.82</v>
      </c>
      <c r="T49" s="373"/>
      <c r="U49" s="349"/>
      <c r="V49" s="377"/>
      <c r="W49" s="7"/>
      <c r="X49" s="373"/>
      <c r="Y49" s="349"/>
      <c r="Z49" s="375" t="s">
        <v>2071</v>
      </c>
      <c r="AA49" s="349"/>
      <c r="AB49" s="8" t="s">
        <v>3119</v>
      </c>
      <c r="AC49" s="8" t="s">
        <v>3120</v>
      </c>
      <c r="AD49" s="83" t="s">
        <v>2071</v>
      </c>
      <c r="AE49" s="67">
        <f t="shared" si="0"/>
        <v>580.81999999999994</v>
      </c>
      <c r="AF49" s="68" t="s">
        <v>3121</v>
      </c>
      <c r="AG49" s="89">
        <v>45945</v>
      </c>
      <c r="AH49" s="7"/>
    </row>
    <row r="50" spans="1:34">
      <c r="A50" s="776">
        <v>566</v>
      </c>
      <c r="B50" s="367" t="s">
        <v>354</v>
      </c>
      <c r="C50" s="385" t="s">
        <v>353</v>
      </c>
      <c r="D50" s="174" t="s">
        <v>2284</v>
      </c>
      <c r="E50" s="174" t="s">
        <v>2857</v>
      </c>
      <c r="F50" s="444">
        <v>46009</v>
      </c>
      <c r="G50" s="444">
        <v>47105</v>
      </c>
      <c r="H50" s="10" t="s">
        <v>3122</v>
      </c>
      <c r="I50" s="174" t="s">
        <v>2333</v>
      </c>
      <c r="J50" s="296" t="s">
        <v>1951</v>
      </c>
      <c r="K50" s="509">
        <v>450.25</v>
      </c>
      <c r="L50" s="174" t="s">
        <v>1954</v>
      </c>
      <c r="M50" s="162">
        <v>22153440</v>
      </c>
      <c r="N50" s="347">
        <v>46203</v>
      </c>
      <c r="O50" s="91">
        <v>47299</v>
      </c>
      <c r="P50" s="348">
        <v>820000221277890</v>
      </c>
      <c r="Q50" s="10" t="s">
        <v>2333</v>
      </c>
      <c r="R50" s="174" t="s">
        <v>1951</v>
      </c>
      <c r="S50" s="478">
        <v>380</v>
      </c>
      <c r="T50" s="374"/>
      <c r="U50" s="184" t="s">
        <v>2071</v>
      </c>
      <c r="V50" s="184" t="s">
        <v>2071</v>
      </c>
      <c r="W50" s="184" t="s">
        <v>2071</v>
      </c>
      <c r="X50" s="382"/>
      <c r="Y50" s="382"/>
      <c r="Z50" s="438" t="s">
        <v>2071</v>
      </c>
      <c r="AA50" s="349"/>
      <c r="AB50" s="8" t="s">
        <v>3123</v>
      </c>
      <c r="AC50" s="8" t="s">
        <v>3124</v>
      </c>
      <c r="AD50" s="83" t="s">
        <v>2071</v>
      </c>
      <c r="AE50" s="67">
        <f t="shared" si="0"/>
        <v>830.25</v>
      </c>
      <c r="AF50" s="68" t="s">
        <v>3125</v>
      </c>
      <c r="AG50" s="78">
        <v>46203</v>
      </c>
      <c r="AH50" s="433"/>
    </row>
    <row r="51" spans="1:34">
      <c r="A51" s="778">
        <v>571</v>
      </c>
      <c r="B51" s="297" t="s">
        <v>50</v>
      </c>
      <c r="C51" s="10" t="s">
        <v>363</v>
      </c>
      <c r="D51" s="94" t="s">
        <v>2284</v>
      </c>
      <c r="E51" s="174" t="s">
        <v>3042</v>
      </c>
      <c r="F51" s="84">
        <v>46232</v>
      </c>
      <c r="G51" s="84">
        <v>47328</v>
      </c>
      <c r="H51" s="388" t="s">
        <v>3126</v>
      </c>
      <c r="I51" s="17" t="s">
        <v>2333</v>
      </c>
      <c r="J51" s="8" t="s">
        <v>1951</v>
      </c>
      <c r="K51" s="460">
        <v>398.05</v>
      </c>
      <c r="L51" s="3" t="s">
        <v>2285</v>
      </c>
      <c r="M51" s="576" t="s">
        <v>3127</v>
      </c>
      <c r="N51" s="578">
        <v>45533</v>
      </c>
      <c r="O51" s="578">
        <v>46628</v>
      </c>
      <c r="P51" s="576" t="s">
        <v>3128</v>
      </c>
      <c r="Q51" s="8" t="s">
        <v>3086</v>
      </c>
      <c r="R51" s="8" t="s">
        <v>1951</v>
      </c>
      <c r="S51" s="617">
        <v>430</v>
      </c>
      <c r="T51" s="822" t="s">
        <v>3129</v>
      </c>
      <c r="U51" s="831" t="s">
        <v>2934</v>
      </c>
      <c r="V51" s="25" t="s">
        <v>2010</v>
      </c>
      <c r="W51" s="39" t="s">
        <v>3130</v>
      </c>
      <c r="X51" s="149" t="s">
        <v>3028</v>
      </c>
      <c r="Y51" s="32"/>
      <c r="Z51" s="32" t="s">
        <v>2071</v>
      </c>
      <c r="AA51" s="32"/>
      <c r="AB51" s="24" t="s">
        <v>3131</v>
      </c>
      <c r="AC51" s="24" t="s">
        <v>3132</v>
      </c>
      <c r="AD51" s="26" t="s">
        <v>3133</v>
      </c>
      <c r="AE51" s="317">
        <f t="shared" si="0"/>
        <v>828.05</v>
      </c>
      <c r="AF51" s="31" t="s">
        <v>3134</v>
      </c>
      <c r="AG51" s="27">
        <v>46206</v>
      </c>
      <c r="AH51" s="51"/>
    </row>
    <row r="52" spans="1:34">
      <c r="A52" s="699">
        <v>573</v>
      </c>
      <c r="B52" s="385" t="s">
        <v>58</v>
      </c>
      <c r="C52" s="385" t="s">
        <v>143</v>
      </c>
      <c r="D52" s="3" t="s">
        <v>2284</v>
      </c>
      <c r="E52" s="3" t="s">
        <v>2857</v>
      </c>
      <c r="F52" s="295">
        <v>46045</v>
      </c>
      <c r="G52" s="78">
        <v>47141</v>
      </c>
      <c r="H52" s="81" t="s">
        <v>3135</v>
      </c>
      <c r="I52" s="3" t="s">
        <v>2333</v>
      </c>
      <c r="J52" s="177" t="s">
        <v>1951</v>
      </c>
      <c r="K52" s="405">
        <v>439.27</v>
      </c>
      <c r="L52" s="701" t="s">
        <v>1954</v>
      </c>
      <c r="M52" s="700">
        <v>2341178</v>
      </c>
      <c r="N52" s="702">
        <v>44421</v>
      </c>
      <c r="O52" s="869" t="s">
        <v>1968</v>
      </c>
      <c r="P52" s="704">
        <v>116334990013698</v>
      </c>
      <c r="Q52" s="701" t="s">
        <v>1987</v>
      </c>
      <c r="R52" s="858" t="s">
        <v>1951</v>
      </c>
      <c r="S52" s="859">
        <v>497</v>
      </c>
      <c r="T52" s="374"/>
      <c r="U52" s="184" t="s">
        <v>2071</v>
      </c>
      <c r="V52" s="184" t="s">
        <v>2071</v>
      </c>
      <c r="W52" s="184" t="s">
        <v>2071</v>
      </c>
      <c r="X52" s="382"/>
      <c r="Y52" s="382"/>
      <c r="Z52" s="375" t="s">
        <v>2071</v>
      </c>
      <c r="AA52" s="349"/>
      <c r="AB52" s="8" t="s">
        <v>3136</v>
      </c>
      <c r="AC52" s="8" t="s">
        <v>3137</v>
      </c>
      <c r="AD52" s="83" t="s">
        <v>3138</v>
      </c>
      <c r="AE52" s="67">
        <f t="shared" si="0"/>
        <v>936.27</v>
      </c>
      <c r="AF52" s="68" t="s">
        <v>3139</v>
      </c>
      <c r="AG52" s="78">
        <v>46045</v>
      </c>
      <c r="AH52" s="65"/>
    </row>
    <row r="53" spans="1:34">
      <c r="A53" s="780">
        <v>575</v>
      </c>
      <c r="B53" s="154" t="s">
        <v>120</v>
      </c>
      <c r="C53" s="17" t="s">
        <v>372</v>
      </c>
      <c r="D53" s="10" t="s">
        <v>2285</v>
      </c>
      <c r="E53" s="94" t="s">
        <v>3140</v>
      </c>
      <c r="F53" s="391">
        <v>45512</v>
      </c>
      <c r="G53" s="237">
        <v>46607</v>
      </c>
      <c r="H53" s="380" t="s">
        <v>3141</v>
      </c>
      <c r="I53" s="94" t="s">
        <v>2785</v>
      </c>
      <c r="J53" s="17" t="s">
        <v>1951</v>
      </c>
      <c r="K53" s="509">
        <v>430</v>
      </c>
      <c r="L53" s="17" t="s">
        <v>2297</v>
      </c>
      <c r="M53" s="218">
        <v>23348</v>
      </c>
      <c r="N53" s="84">
        <v>46059</v>
      </c>
      <c r="O53" s="84">
        <v>46789</v>
      </c>
      <c r="P53" t="s">
        <v>3142</v>
      </c>
      <c r="Q53" s="17" t="s">
        <v>3143</v>
      </c>
      <c r="R53" s="17" t="s">
        <v>2860</v>
      </c>
      <c r="S53" s="688">
        <v>304.57</v>
      </c>
      <c r="T53" s="373"/>
      <c r="U53" s="184" t="s">
        <v>2071</v>
      </c>
      <c r="V53" s="184" t="s">
        <v>2071</v>
      </c>
      <c r="W53" s="184" t="s">
        <v>2071</v>
      </c>
      <c r="X53" s="349"/>
      <c r="Y53" s="349"/>
      <c r="Z53" s="375" t="s">
        <v>2071</v>
      </c>
      <c r="AA53" s="349"/>
      <c r="AB53" s="8" t="s">
        <v>3144</v>
      </c>
      <c r="AC53" s="8" t="s">
        <v>3145</v>
      </c>
      <c r="AD53" s="83" t="s">
        <v>2071</v>
      </c>
      <c r="AE53" s="67">
        <f t="shared" si="0"/>
        <v>734.56999999999994</v>
      </c>
      <c r="AF53" s="68" t="s">
        <v>3146</v>
      </c>
      <c r="AG53" s="78">
        <v>46059</v>
      </c>
      <c r="AH53" s="65"/>
    </row>
    <row r="54" spans="1:34">
      <c r="A54" s="785">
        <v>576</v>
      </c>
      <c r="B54" s="3" t="s">
        <v>58</v>
      </c>
      <c r="C54" s="8" t="s">
        <v>379</v>
      </c>
      <c r="D54" s="8" t="s">
        <v>2286</v>
      </c>
      <c r="E54" s="3" t="s">
        <v>2865</v>
      </c>
      <c r="F54" s="78">
        <v>45944</v>
      </c>
      <c r="G54" s="78">
        <v>47040</v>
      </c>
      <c r="H54" s="81">
        <v>11019440</v>
      </c>
      <c r="I54" s="8" t="s">
        <v>2785</v>
      </c>
      <c r="J54" s="8" t="s">
        <v>2866</v>
      </c>
      <c r="K54" s="626">
        <v>385</v>
      </c>
      <c r="L54" s="369" t="s">
        <v>2287</v>
      </c>
      <c r="M54" s="766">
        <v>2194174</v>
      </c>
      <c r="N54" s="619">
        <v>45595</v>
      </c>
      <c r="O54" s="371">
        <v>46325</v>
      </c>
      <c r="P54" s="370">
        <v>2194174</v>
      </c>
      <c r="Q54" s="369" t="s">
        <v>2859</v>
      </c>
      <c r="R54" s="369" t="s">
        <v>2860</v>
      </c>
      <c r="S54" s="331">
        <v>298.89999999999998</v>
      </c>
      <c r="T54" s="373"/>
      <c r="U54" s="184" t="s">
        <v>2071</v>
      </c>
      <c r="V54" s="184" t="s">
        <v>2071</v>
      </c>
      <c r="W54" s="184" t="s">
        <v>2071</v>
      </c>
      <c r="X54" s="184"/>
      <c r="Y54" s="184"/>
      <c r="Z54" s="375" t="s">
        <v>2071</v>
      </c>
      <c r="AA54" s="184"/>
      <c r="AB54" s="8" t="s">
        <v>3147</v>
      </c>
      <c r="AC54" s="8" t="s">
        <v>3148</v>
      </c>
      <c r="AD54" s="83" t="s">
        <v>2071</v>
      </c>
      <c r="AE54" s="67">
        <f t="shared" si="0"/>
        <v>683.9</v>
      </c>
      <c r="AF54" s="68" t="s">
        <v>3149</v>
      </c>
      <c r="AG54" s="78">
        <v>45944</v>
      </c>
      <c r="AH54" s="68"/>
    </row>
    <row r="55" spans="1:34">
      <c r="A55" s="775">
        <v>577</v>
      </c>
      <c r="B55" s="419" t="s">
        <v>58</v>
      </c>
      <c r="C55" s="472" t="s">
        <v>386</v>
      </c>
      <c r="D55" s="656" t="s">
        <v>2284</v>
      </c>
      <c r="E55" s="367" t="s">
        <v>2857</v>
      </c>
      <c r="F55" s="378">
        <v>45995</v>
      </c>
      <c r="G55" s="237">
        <v>47091</v>
      </c>
      <c r="H55" s="94" t="s">
        <v>3150</v>
      </c>
      <c r="I55" s="94" t="s">
        <v>2333</v>
      </c>
      <c r="J55" s="10" t="s">
        <v>1951</v>
      </c>
      <c r="K55" s="405">
        <v>439.27</v>
      </c>
      <c r="L55" s="583" t="s">
        <v>2287</v>
      </c>
      <c r="M55" s="512">
        <v>2194188</v>
      </c>
      <c r="N55" s="454">
        <v>45595</v>
      </c>
      <c r="O55" s="454">
        <v>46690</v>
      </c>
      <c r="P55" s="512">
        <v>2194188</v>
      </c>
      <c r="Q55" s="455" t="s">
        <v>2859</v>
      </c>
      <c r="R55" s="455" t="s">
        <v>2860</v>
      </c>
      <c r="S55" s="456">
        <v>298.89999999999998</v>
      </c>
      <c r="T55" s="373"/>
      <c r="U55" s="184" t="s">
        <v>2071</v>
      </c>
      <c r="V55" s="184" t="s">
        <v>2071</v>
      </c>
      <c r="W55" s="184" t="s">
        <v>2071</v>
      </c>
      <c r="X55" s="349"/>
      <c r="Y55" s="349"/>
      <c r="Z55" s="349" t="s">
        <v>2071</v>
      </c>
      <c r="AA55" s="349"/>
      <c r="AB55" s="8" t="s">
        <v>3151</v>
      </c>
      <c r="AC55" s="8" t="s">
        <v>3152</v>
      </c>
      <c r="AD55" s="83" t="s">
        <v>3153</v>
      </c>
      <c r="AE55" s="67">
        <f t="shared" si="0"/>
        <v>738.17</v>
      </c>
      <c r="AF55" s="68" t="s">
        <v>3154</v>
      </c>
      <c r="AG55" s="78">
        <v>45995</v>
      </c>
      <c r="AH55" s="480" t="s">
        <v>3155</v>
      </c>
    </row>
    <row r="56" spans="1:34">
      <c r="A56" s="776">
        <v>578</v>
      </c>
      <c r="B56" s="367" t="s">
        <v>88</v>
      </c>
      <c r="C56" s="385" t="s">
        <v>393</v>
      </c>
      <c r="D56" s="3" t="s">
        <v>2284</v>
      </c>
      <c r="E56" s="3" t="s">
        <v>2857</v>
      </c>
      <c r="F56" s="78">
        <v>45982</v>
      </c>
      <c r="G56" s="295">
        <v>47078</v>
      </c>
      <c r="H56" s="298" t="s">
        <v>3156</v>
      </c>
      <c r="I56" s="3" t="s">
        <v>2333</v>
      </c>
      <c r="J56" s="629" t="s">
        <v>1951</v>
      </c>
      <c r="K56" s="468">
        <v>433.98</v>
      </c>
      <c r="L56" s="174" t="s">
        <v>1954</v>
      </c>
      <c r="M56" s="162">
        <v>22153440</v>
      </c>
      <c r="N56" s="347">
        <v>46192</v>
      </c>
      <c r="O56" s="91">
        <v>47288</v>
      </c>
      <c r="P56" s="348">
        <v>471990221273694</v>
      </c>
      <c r="Q56" s="10" t="s">
        <v>2333</v>
      </c>
      <c r="R56" s="174" t="s">
        <v>1951</v>
      </c>
      <c r="S56" s="478">
        <v>380</v>
      </c>
      <c r="T56" s="389"/>
      <c r="U56" s="184" t="s">
        <v>2071</v>
      </c>
      <c r="V56" s="184" t="s">
        <v>2071</v>
      </c>
      <c r="W56" s="184" t="s">
        <v>2071</v>
      </c>
      <c r="X56" s="437"/>
      <c r="Y56" s="437"/>
      <c r="Z56" s="375" t="s">
        <v>2071</v>
      </c>
      <c r="AA56" s="438"/>
      <c r="AB56" s="17" t="s">
        <v>3157</v>
      </c>
      <c r="AC56" s="17" t="s">
        <v>3158</v>
      </c>
      <c r="AD56" s="181" t="s">
        <v>2071</v>
      </c>
      <c r="AE56" s="67">
        <f t="shared" si="0"/>
        <v>813.98</v>
      </c>
      <c r="AF56" s="69" t="s">
        <v>3159</v>
      </c>
      <c r="AG56" s="485">
        <v>46192</v>
      </c>
      <c r="AH56" s="7"/>
    </row>
    <row r="57" spans="1:34">
      <c r="A57" s="780">
        <v>579</v>
      </c>
      <c r="B57" s="414" t="s">
        <v>58</v>
      </c>
      <c r="C57" s="417" t="s">
        <v>95</v>
      </c>
      <c r="D57" s="472" t="s">
        <v>1956</v>
      </c>
      <c r="E57" s="174" t="s">
        <v>2917</v>
      </c>
      <c r="F57" s="470">
        <v>45952</v>
      </c>
      <c r="G57" s="470">
        <v>47048</v>
      </c>
      <c r="H57" s="558">
        <v>10079713</v>
      </c>
      <c r="I57" s="472" t="s">
        <v>2333</v>
      </c>
      <c r="J57" s="666" t="s">
        <v>1951</v>
      </c>
      <c r="K57" s="516">
        <v>360</v>
      </c>
      <c r="L57" s="583" t="s">
        <v>2287</v>
      </c>
      <c r="M57" s="453">
        <v>2194207</v>
      </c>
      <c r="N57" s="454">
        <v>45595</v>
      </c>
      <c r="O57" s="454">
        <v>46690</v>
      </c>
      <c r="P57" s="453">
        <v>2194207</v>
      </c>
      <c r="Q57" s="455" t="s">
        <v>2859</v>
      </c>
      <c r="R57" s="455" t="s">
        <v>2860</v>
      </c>
      <c r="S57" s="456">
        <v>298.89999999999998</v>
      </c>
      <c r="T57" s="821" t="s">
        <v>3160</v>
      </c>
      <c r="U57" s="8" t="s">
        <v>2878</v>
      </c>
      <c r="V57" s="184" t="s">
        <v>2024</v>
      </c>
      <c r="W57" t="s">
        <v>3161</v>
      </c>
      <c r="X57" s="481" t="s">
        <v>2880</v>
      </c>
      <c r="Y57" s="349"/>
      <c r="Z57" s="375" t="s">
        <v>2071</v>
      </c>
      <c r="AA57" s="349"/>
      <c r="AB57" s="8" t="s">
        <v>3162</v>
      </c>
      <c r="AC57" s="8" t="s">
        <v>3163</v>
      </c>
      <c r="AD57" s="83" t="s">
        <v>2071</v>
      </c>
      <c r="AE57" s="67">
        <f t="shared" si="0"/>
        <v>658.9</v>
      </c>
      <c r="AF57" s="68" t="s">
        <v>3164</v>
      </c>
      <c r="AG57" s="78">
        <v>46241</v>
      </c>
      <c r="AH57" s="433" t="s">
        <v>3165</v>
      </c>
    </row>
    <row r="58" spans="1:34">
      <c r="A58" s="775">
        <v>580</v>
      </c>
      <c r="B58" s="174" t="s">
        <v>58</v>
      </c>
      <c r="C58" s="10" t="s">
        <v>403</v>
      </c>
      <c r="D58" s="174" t="s">
        <v>2284</v>
      </c>
      <c r="E58" s="174" t="s">
        <v>2857</v>
      </c>
      <c r="F58" s="91">
        <v>45982</v>
      </c>
      <c r="G58" s="572">
        <v>47078</v>
      </c>
      <c r="H58" s="406" t="s">
        <v>3166</v>
      </c>
      <c r="I58" s="296" t="s">
        <v>2333</v>
      </c>
      <c r="J58" s="292" t="s">
        <v>1951</v>
      </c>
      <c r="K58" s="405">
        <v>439.27</v>
      </c>
      <c r="L58" s="369" t="s">
        <v>1954</v>
      </c>
      <c r="M58" s="3">
        <v>3249939</v>
      </c>
      <c r="N58" s="371">
        <v>45944</v>
      </c>
      <c r="O58" s="371">
        <v>46674</v>
      </c>
      <c r="P58" s="7" t="s">
        <v>3167</v>
      </c>
      <c r="Q58" s="369" t="s">
        <v>2876</v>
      </c>
      <c r="R58" s="369" t="s">
        <v>2860</v>
      </c>
      <c r="S58" s="331">
        <v>94.99</v>
      </c>
      <c r="T58" s="373"/>
      <c r="U58" s="184" t="s">
        <v>2071</v>
      </c>
      <c r="V58" s="184" t="s">
        <v>2071</v>
      </c>
      <c r="W58" s="184" t="s">
        <v>2071</v>
      </c>
      <c r="X58" s="184"/>
      <c r="Y58" s="184"/>
      <c r="Z58" s="438" t="s">
        <v>2071</v>
      </c>
      <c r="AA58" s="184"/>
      <c r="AB58" s="8" t="s">
        <v>3168</v>
      </c>
      <c r="AC58" s="8" t="s">
        <v>3169</v>
      </c>
      <c r="AD58" s="83" t="s">
        <v>3170</v>
      </c>
      <c r="AE58" s="67">
        <f t="shared" si="0"/>
        <v>534.26</v>
      </c>
      <c r="AF58" s="68" t="s">
        <v>3171</v>
      </c>
      <c r="AG58" s="78">
        <v>45982</v>
      </c>
      <c r="AH58" s="65"/>
    </row>
    <row r="59" spans="1:34">
      <c r="A59" s="776">
        <v>582</v>
      </c>
      <c r="B59" s="367" t="s">
        <v>50</v>
      </c>
      <c r="C59" s="367" t="s">
        <v>49</v>
      </c>
      <c r="D59" s="367" t="s">
        <v>2284</v>
      </c>
      <c r="E59" s="154" t="s">
        <v>2857</v>
      </c>
      <c r="F59" s="387">
        <v>45964</v>
      </c>
      <c r="G59" s="387">
        <v>47060</v>
      </c>
      <c r="H59" s="368" t="s">
        <v>3172</v>
      </c>
      <c r="I59" s="154" t="s">
        <v>2333</v>
      </c>
      <c r="J59" s="154" t="s">
        <v>1951</v>
      </c>
      <c r="K59" s="468">
        <v>433.98</v>
      </c>
      <c r="L59" s="390" t="s">
        <v>1954</v>
      </c>
      <c r="M59" s="94">
        <v>2194188</v>
      </c>
      <c r="N59" s="237">
        <v>45778</v>
      </c>
      <c r="O59" s="237">
        <v>46508</v>
      </c>
      <c r="P59" s="465" t="s">
        <v>3173</v>
      </c>
      <c r="Q59" s="10" t="s">
        <v>3174</v>
      </c>
      <c r="R59" s="94" t="s">
        <v>2860</v>
      </c>
      <c r="S59" s="431">
        <v>144.9</v>
      </c>
      <c r="T59" s="349"/>
      <c r="U59" s="184" t="s">
        <v>2071</v>
      </c>
      <c r="V59" s="184" t="s">
        <v>2071</v>
      </c>
      <c r="W59" s="184" t="s">
        <v>2071</v>
      </c>
      <c r="X59" s="184"/>
      <c r="Y59" s="184"/>
      <c r="Z59" s="438" t="s">
        <v>2071</v>
      </c>
      <c r="AA59" s="184"/>
      <c r="AB59" s="8" t="s">
        <v>3175</v>
      </c>
      <c r="AC59" s="8" t="s">
        <v>3176</v>
      </c>
      <c r="AD59" s="83" t="s">
        <v>2071</v>
      </c>
      <c r="AE59" s="67">
        <f t="shared" si="0"/>
        <v>578.88</v>
      </c>
      <c r="AF59" s="68" t="s">
        <v>3177</v>
      </c>
      <c r="AG59" s="78">
        <v>45964</v>
      </c>
      <c r="AH59" s="65"/>
    </row>
    <row r="60" spans="1:34">
      <c r="A60" s="780">
        <v>583</v>
      </c>
      <c r="B60" s="154" t="s">
        <v>251</v>
      </c>
      <c r="C60" s="17" t="s">
        <v>250</v>
      </c>
      <c r="D60" s="69" t="s">
        <v>1956</v>
      </c>
      <c r="E60" s="154" t="s">
        <v>2917</v>
      </c>
      <c r="F60" s="769">
        <v>46058</v>
      </c>
      <c r="G60" s="485">
        <v>47154</v>
      </c>
      <c r="H60" s="17">
        <v>10079639</v>
      </c>
      <c r="I60" s="69" t="s">
        <v>2333</v>
      </c>
      <c r="J60" s="17" t="s">
        <v>1951</v>
      </c>
      <c r="K60" s="520">
        <v>360</v>
      </c>
      <c r="L60" s="154" t="s">
        <v>2284</v>
      </c>
      <c r="M60" s="3" t="s">
        <v>2918</v>
      </c>
      <c r="N60" s="295">
        <v>45951</v>
      </c>
      <c r="O60" s="295">
        <v>47047</v>
      </c>
      <c r="P60" s="298" t="s">
        <v>3178</v>
      </c>
      <c r="Q60" s="177" t="s">
        <v>3179</v>
      </c>
      <c r="R60" s="154" t="s">
        <v>2860</v>
      </c>
      <c r="S60" s="331">
        <v>227.82</v>
      </c>
      <c r="T60" s="822" t="s">
        <v>3180</v>
      </c>
      <c r="U60" s="382" t="s">
        <v>2934</v>
      </c>
      <c r="V60" s="377" t="s">
        <v>2370</v>
      </c>
      <c r="W60" s="7" t="s">
        <v>3181</v>
      </c>
      <c r="X60" s="373" t="s">
        <v>2880</v>
      </c>
      <c r="Y60" s="349"/>
      <c r="Z60" s="375" t="s">
        <v>2071</v>
      </c>
      <c r="AA60" s="349"/>
      <c r="AB60" s="8" t="s">
        <v>3182</v>
      </c>
      <c r="AC60" s="8" t="s">
        <v>3183</v>
      </c>
      <c r="AD60" s="83" t="s">
        <v>2071</v>
      </c>
      <c r="AE60" s="67">
        <f t="shared" si="0"/>
        <v>587.81999999999994</v>
      </c>
      <c r="AF60" s="68" t="s">
        <v>3184</v>
      </c>
      <c r="AG60" s="78">
        <v>46168</v>
      </c>
      <c r="AH60" s="65" t="s">
        <v>3185</v>
      </c>
    </row>
    <row r="61" spans="1:34">
      <c r="A61" s="778">
        <v>586</v>
      </c>
      <c r="B61" s="3" t="s">
        <v>58</v>
      </c>
      <c r="C61" s="154" t="s">
        <v>95</v>
      </c>
      <c r="D61" s="154" t="s">
        <v>2286</v>
      </c>
      <c r="E61" s="154" t="s">
        <v>2865</v>
      </c>
      <c r="F61" s="387">
        <v>45910</v>
      </c>
      <c r="G61" s="387">
        <v>47006</v>
      </c>
      <c r="H61" s="469">
        <v>11009059</v>
      </c>
      <c r="I61" s="154" t="s">
        <v>2785</v>
      </c>
      <c r="J61" s="154" t="s">
        <v>2866</v>
      </c>
      <c r="K61" s="331">
        <v>436.91</v>
      </c>
      <c r="L61" s="3" t="s">
        <v>2287</v>
      </c>
      <c r="M61" s="223">
        <v>2194245</v>
      </c>
      <c r="N61" s="347">
        <v>45572</v>
      </c>
      <c r="O61" s="347">
        <v>46667</v>
      </c>
      <c r="P61" s="197">
        <v>2194245</v>
      </c>
      <c r="Q61" s="3" t="s">
        <v>2867</v>
      </c>
      <c r="R61" s="3" t="s">
        <v>2860</v>
      </c>
      <c r="S61" s="331">
        <v>320.14</v>
      </c>
      <c r="T61" s="373"/>
      <c r="U61" s="184" t="s">
        <v>2071</v>
      </c>
      <c r="V61" s="184" t="s">
        <v>2071</v>
      </c>
      <c r="W61" s="184" t="s">
        <v>2071</v>
      </c>
      <c r="X61" s="184"/>
      <c r="Y61" s="184"/>
      <c r="Z61" s="349" t="s">
        <v>2071</v>
      </c>
      <c r="AA61" s="184"/>
      <c r="AB61" s="8" t="s">
        <v>3186</v>
      </c>
      <c r="AC61" s="8" t="s">
        <v>3187</v>
      </c>
      <c r="AD61" s="83" t="s">
        <v>3188</v>
      </c>
      <c r="AE61" s="67">
        <f t="shared" si="0"/>
        <v>757.05</v>
      </c>
      <c r="AF61" s="68" t="s">
        <v>3189</v>
      </c>
      <c r="AG61" s="78">
        <v>45910</v>
      </c>
    </row>
    <row r="62" spans="1:34">
      <c r="A62" s="319">
        <v>589</v>
      </c>
      <c r="B62" s="297" t="s">
        <v>354</v>
      </c>
      <c r="C62" s="940" t="s">
        <v>353</v>
      </c>
      <c r="D62" s="940" t="s">
        <v>1956</v>
      </c>
      <c r="E62" s="940" t="s">
        <v>3190</v>
      </c>
      <c r="F62" s="944">
        <v>45226</v>
      </c>
      <c r="G62" s="943">
        <v>46322</v>
      </c>
      <c r="H62" s="945">
        <v>9307714</v>
      </c>
      <c r="I62" s="935" t="s">
        <v>2785</v>
      </c>
      <c r="J62" s="942" t="s">
        <v>1951</v>
      </c>
      <c r="K62" s="927">
        <v>524.04</v>
      </c>
      <c r="L62" s="379" t="s">
        <v>1954</v>
      </c>
      <c r="M62" s="367">
        <v>3249939</v>
      </c>
      <c r="N62" s="378">
        <v>45922</v>
      </c>
      <c r="O62" s="378">
        <v>46652</v>
      </c>
      <c r="P62" s="324" t="s">
        <v>3191</v>
      </c>
      <c r="Q62" s="367" t="s">
        <v>2876</v>
      </c>
      <c r="R62" s="367" t="s">
        <v>2860</v>
      </c>
      <c r="S62" s="432">
        <v>94.99</v>
      </c>
      <c r="T62" s="386"/>
      <c r="U62" s="184" t="s">
        <v>2071</v>
      </c>
      <c r="V62" s="184" t="s">
        <v>2071</v>
      </c>
      <c r="W62" s="184" t="s">
        <v>2071</v>
      </c>
      <c r="X62" s="184"/>
      <c r="Y62" s="184"/>
      <c r="Z62" s="375" t="s">
        <v>2071</v>
      </c>
      <c r="AA62" s="184"/>
      <c r="AB62" s="8" t="s">
        <v>3192</v>
      </c>
      <c r="AC62" s="8" t="s">
        <v>3193</v>
      </c>
      <c r="AD62" s="83" t="s">
        <v>2071</v>
      </c>
      <c r="AE62" s="67">
        <f t="shared" si="0"/>
        <v>619.03</v>
      </c>
      <c r="AF62" s="68" t="s">
        <v>3194</v>
      </c>
      <c r="AG62" s="78">
        <v>45922</v>
      </c>
      <c r="AH62" s="68"/>
    </row>
    <row r="63" spans="1:34">
      <c r="A63" s="776">
        <v>590</v>
      </c>
      <c r="B63" s="367" t="s">
        <v>251</v>
      </c>
      <c r="C63" s="94" t="s">
        <v>428</v>
      </c>
      <c r="D63" s="68" t="s">
        <v>2284</v>
      </c>
      <c r="E63" s="174" t="s">
        <v>3042</v>
      </c>
      <c r="F63" s="237">
        <v>46213</v>
      </c>
      <c r="G63" s="237">
        <v>47309</v>
      </c>
      <c r="H63" s="380" t="s">
        <v>3195</v>
      </c>
      <c r="I63" s="94" t="s">
        <v>2333</v>
      </c>
      <c r="J63" s="94" t="s">
        <v>1951</v>
      </c>
      <c r="K63" s="519">
        <v>403.13</v>
      </c>
      <c r="L63" s="8" t="s">
        <v>2286</v>
      </c>
      <c r="M63" s="3" t="s">
        <v>2865</v>
      </c>
      <c r="N63" s="489">
        <v>45938</v>
      </c>
      <c r="O63" s="84">
        <v>47034</v>
      </c>
      <c r="P63" s="388">
        <v>31003592</v>
      </c>
      <c r="Q63" s="8" t="s">
        <v>2785</v>
      </c>
      <c r="R63" s="8" t="s">
        <v>2866</v>
      </c>
      <c r="S63" s="439">
        <v>385</v>
      </c>
      <c r="T63" s="373"/>
      <c r="U63" s="184" t="s">
        <v>2071</v>
      </c>
      <c r="V63" s="184" t="s">
        <v>2071</v>
      </c>
      <c r="W63" s="184" t="s">
        <v>2071</v>
      </c>
      <c r="X63" s="349"/>
      <c r="Y63" s="349"/>
      <c r="Z63" s="375" t="s">
        <v>2071</v>
      </c>
      <c r="AA63" s="349"/>
      <c r="AB63" s="8" t="s">
        <v>3196</v>
      </c>
      <c r="AC63" s="8" t="s">
        <v>3197</v>
      </c>
      <c r="AD63" s="83" t="s">
        <v>2071</v>
      </c>
      <c r="AE63" s="67">
        <f t="shared" si="0"/>
        <v>788.13</v>
      </c>
      <c r="AF63" s="68" t="s">
        <v>3198</v>
      </c>
      <c r="AG63" s="78">
        <v>46224</v>
      </c>
      <c r="AH63" s="65"/>
    </row>
    <row r="64" spans="1:34">
      <c r="A64" s="780">
        <v>594</v>
      </c>
      <c r="B64" s="3" t="s">
        <v>88</v>
      </c>
      <c r="C64" s="8" t="s">
        <v>84</v>
      </c>
      <c r="D64" s="8" t="s">
        <v>2297</v>
      </c>
      <c r="E64" s="218">
        <v>23348</v>
      </c>
      <c r="F64" s="78">
        <v>46111</v>
      </c>
      <c r="G64" s="78">
        <v>46842</v>
      </c>
      <c r="H64" t="s">
        <v>3199</v>
      </c>
      <c r="I64" s="8" t="s">
        <v>2333</v>
      </c>
      <c r="J64" s="8" t="s">
        <v>1951</v>
      </c>
      <c r="K64" s="331">
        <v>342.18</v>
      </c>
      <c r="L64" s="379" t="s">
        <v>2284</v>
      </c>
      <c r="M64" s="174" t="s">
        <v>2918</v>
      </c>
      <c r="N64" s="295">
        <v>45951</v>
      </c>
      <c r="O64" s="295">
        <v>47047</v>
      </c>
      <c r="P64" s="298" t="s">
        <v>3200</v>
      </c>
      <c r="Q64" s="177" t="s">
        <v>3179</v>
      </c>
      <c r="R64" s="367" t="s">
        <v>2860</v>
      </c>
      <c r="S64" s="519">
        <v>224.97</v>
      </c>
      <c r="T64" s="349"/>
      <c r="U64" s="184" t="s">
        <v>2071</v>
      </c>
      <c r="V64" s="184" t="s">
        <v>2071</v>
      </c>
      <c r="W64" s="184" t="s">
        <v>2071</v>
      </c>
      <c r="X64" s="349"/>
      <c r="Y64" s="349"/>
      <c r="Z64" s="438" t="s">
        <v>2071</v>
      </c>
      <c r="AA64" s="349"/>
      <c r="AB64" s="8" t="s">
        <v>3201</v>
      </c>
      <c r="AC64" s="8" t="s">
        <v>3202</v>
      </c>
      <c r="AD64" s="83" t="s">
        <v>2071</v>
      </c>
      <c r="AE64" s="67">
        <f t="shared" si="0"/>
        <v>567.15</v>
      </c>
      <c r="AF64" s="68" t="s">
        <v>3203</v>
      </c>
      <c r="AG64" s="78">
        <v>46111</v>
      </c>
      <c r="AH64" s="480"/>
    </row>
    <row r="65" spans="1:34">
      <c r="A65" s="776">
        <v>598</v>
      </c>
      <c r="B65" s="385" t="s">
        <v>446</v>
      </c>
      <c r="C65" s="94" t="s">
        <v>445</v>
      </c>
      <c r="D65" s="367" t="s">
        <v>2284</v>
      </c>
      <c r="E65" s="379" t="s">
        <v>2918</v>
      </c>
      <c r="F65" s="237">
        <v>45951</v>
      </c>
      <c r="G65" s="237">
        <v>47047</v>
      </c>
      <c r="H65" s="94" t="s">
        <v>3204</v>
      </c>
      <c r="I65" s="94" t="s">
        <v>2876</v>
      </c>
      <c r="J65" s="94" t="s">
        <v>2860</v>
      </c>
      <c r="K65" s="640">
        <v>225.08</v>
      </c>
      <c r="L65" s="367" t="s">
        <v>1954</v>
      </c>
      <c r="M65" s="367">
        <v>3249939</v>
      </c>
      <c r="N65" s="378">
        <v>45946</v>
      </c>
      <c r="O65" s="557">
        <v>46676</v>
      </c>
      <c r="P65" s="367" t="s">
        <v>3205</v>
      </c>
      <c r="Q65" s="379" t="s">
        <v>2876</v>
      </c>
      <c r="R65" s="367" t="s">
        <v>2860</v>
      </c>
      <c r="S65" s="441">
        <v>94.9</v>
      </c>
      <c r="T65" s="373"/>
      <c r="U65" s="184" t="s">
        <v>2071</v>
      </c>
      <c r="V65" s="184" t="s">
        <v>2071</v>
      </c>
      <c r="W65" s="184" t="s">
        <v>2071</v>
      </c>
      <c r="X65" s="349"/>
      <c r="Y65" s="349"/>
      <c r="Z65" s="349" t="s">
        <v>2071</v>
      </c>
      <c r="AA65" s="349"/>
      <c r="AB65" s="8" t="s">
        <v>3206</v>
      </c>
      <c r="AC65" s="8" t="s">
        <v>3207</v>
      </c>
      <c r="AD65" s="83" t="s">
        <v>3208</v>
      </c>
      <c r="AE65" s="67">
        <f t="shared" si="0"/>
        <v>319.98</v>
      </c>
      <c r="AF65" s="68" t="s">
        <v>3209</v>
      </c>
      <c r="AG65" s="78">
        <v>45946</v>
      </c>
      <c r="AH65" s="104"/>
    </row>
    <row r="66" spans="1:34">
      <c r="A66" s="780">
        <v>599</v>
      </c>
      <c r="B66" s="3" t="s">
        <v>263</v>
      </c>
      <c r="C66" s="3" t="s">
        <v>447</v>
      </c>
      <c r="D66" s="3" t="s">
        <v>2284</v>
      </c>
      <c r="E66" s="217" t="s">
        <v>2857</v>
      </c>
      <c r="F66" s="387">
        <v>45999</v>
      </c>
      <c r="G66" s="485">
        <v>47095</v>
      </c>
      <c r="H66" s="388" t="s">
        <v>3210</v>
      </c>
      <c r="I66" s="407" t="s">
        <v>2333</v>
      </c>
      <c r="J66" s="154" t="s">
        <v>1951</v>
      </c>
      <c r="K66" s="514">
        <v>447.46</v>
      </c>
      <c r="L66" s="17" t="s">
        <v>1954</v>
      </c>
      <c r="M66" s="154">
        <v>3249939</v>
      </c>
      <c r="N66" s="84">
        <v>45988</v>
      </c>
      <c r="O66" s="84">
        <v>46718</v>
      </c>
      <c r="P66" s="388" t="s">
        <v>3211</v>
      </c>
      <c r="Q66" s="17" t="s">
        <v>2876</v>
      </c>
      <c r="R66" s="17" t="s">
        <v>2860</v>
      </c>
      <c r="S66" s="85">
        <v>94.99</v>
      </c>
      <c r="T66" s="448"/>
      <c r="U66" s="184" t="s">
        <v>2071</v>
      </c>
      <c r="V66" s="184" t="s">
        <v>2071</v>
      </c>
      <c r="W66" s="184" t="s">
        <v>2071</v>
      </c>
      <c r="X66" s="438"/>
      <c r="Y66" s="438"/>
      <c r="Z66" s="375" t="s">
        <v>2071</v>
      </c>
      <c r="AA66" s="349"/>
      <c r="AB66" s="8" t="s">
        <v>3212</v>
      </c>
      <c r="AC66" s="8" t="s">
        <v>3213</v>
      </c>
      <c r="AD66" s="83" t="s">
        <v>3214</v>
      </c>
      <c r="AE66" s="67">
        <f t="shared" ref="AE66:AE129" si="1">SUM(K66+S66+Y66+AA66)</f>
        <v>542.44999999999993</v>
      </c>
      <c r="AF66" s="68" t="s">
        <v>3215</v>
      </c>
      <c r="AG66" s="78">
        <v>45999</v>
      </c>
      <c r="AH66" s="480"/>
    </row>
    <row r="67" spans="1:34">
      <c r="A67" s="776">
        <v>600</v>
      </c>
      <c r="B67" s="385" t="s">
        <v>459</v>
      </c>
      <c r="C67" s="94" t="s">
        <v>458</v>
      </c>
      <c r="D67" s="68" t="s">
        <v>2284</v>
      </c>
      <c r="E67" s="174" t="s">
        <v>3042</v>
      </c>
      <c r="F67" s="84">
        <v>46211</v>
      </c>
      <c r="G67" s="84">
        <v>47307</v>
      </c>
      <c r="H67" s="388" t="s">
        <v>3216</v>
      </c>
      <c r="I67" s="17" t="s">
        <v>2333</v>
      </c>
      <c r="J67" s="17" t="s">
        <v>1951</v>
      </c>
      <c r="K67" s="468">
        <v>416.41</v>
      </c>
      <c r="L67" s="3" t="s">
        <v>2286</v>
      </c>
      <c r="M67" s="3" t="s">
        <v>2865</v>
      </c>
      <c r="N67" s="242">
        <v>45896</v>
      </c>
      <c r="O67" s="387">
        <v>46992</v>
      </c>
      <c r="P67" s="154">
        <v>71000355</v>
      </c>
      <c r="Q67" s="154" t="s">
        <v>2785</v>
      </c>
      <c r="R67" s="154" t="s">
        <v>2866</v>
      </c>
      <c r="S67" s="443">
        <v>385</v>
      </c>
      <c r="T67" s="373"/>
      <c r="U67" s="349"/>
      <c r="V67" s="377"/>
      <c r="W67" s="7"/>
      <c r="X67" s="373"/>
      <c r="Y67" s="184"/>
      <c r="Z67" s="589" t="s">
        <v>2071</v>
      </c>
      <c r="AA67" s="184"/>
      <c r="AB67" s="8" t="s">
        <v>3217</v>
      </c>
      <c r="AC67" s="8" t="s">
        <v>3218</v>
      </c>
      <c r="AD67" s="83" t="s">
        <v>2071</v>
      </c>
      <c r="AE67" s="67">
        <f t="shared" si="1"/>
        <v>801.41000000000008</v>
      </c>
      <c r="AF67" s="68" t="s">
        <v>3219</v>
      </c>
      <c r="AG67" s="78">
        <v>46224</v>
      </c>
      <c r="AH67" s="17"/>
    </row>
    <row r="68" spans="1:34">
      <c r="A68" s="782">
        <v>601</v>
      </c>
      <c r="B68" s="3" t="s">
        <v>112</v>
      </c>
      <c r="C68" s="3" t="s">
        <v>466</v>
      </c>
      <c r="D68" s="3" t="s">
        <v>2286</v>
      </c>
      <c r="E68" s="3" t="s">
        <v>2865</v>
      </c>
      <c r="F68" s="295">
        <v>45902</v>
      </c>
      <c r="G68" s="295">
        <v>46998</v>
      </c>
      <c r="H68" s="298">
        <v>81000012</v>
      </c>
      <c r="I68" s="3" t="s">
        <v>2785</v>
      </c>
      <c r="J68" s="3" t="s">
        <v>2866</v>
      </c>
      <c r="K68" s="331">
        <v>385</v>
      </c>
      <c r="L68" s="174" t="s">
        <v>2284</v>
      </c>
      <c r="M68" s="296" t="s">
        <v>2928</v>
      </c>
      <c r="N68" s="295">
        <v>45895</v>
      </c>
      <c r="O68" s="295">
        <v>46625</v>
      </c>
      <c r="P68" s="3" t="s">
        <v>3220</v>
      </c>
      <c r="Q68" s="3" t="s">
        <v>2876</v>
      </c>
      <c r="R68" s="3" t="s">
        <v>2860</v>
      </c>
      <c r="S68" s="331">
        <v>234.99</v>
      </c>
      <c r="T68" s="822" t="s">
        <v>3221</v>
      </c>
      <c r="U68" s="349" t="s">
        <v>2934</v>
      </c>
      <c r="V68" s="377" t="s">
        <v>2370</v>
      </c>
      <c r="W68" s="7" t="s">
        <v>3222</v>
      </c>
      <c r="X68" s="373" t="s">
        <v>2880</v>
      </c>
      <c r="Y68" s="349">
        <v>0</v>
      </c>
      <c r="Z68" s="349" t="s">
        <v>2071</v>
      </c>
      <c r="AA68" s="373"/>
      <c r="AB68" s="8" t="s">
        <v>3223</v>
      </c>
      <c r="AC68" s="8" t="s">
        <v>3224</v>
      </c>
      <c r="AD68" s="83"/>
      <c r="AE68" s="67">
        <f t="shared" si="1"/>
        <v>619.99</v>
      </c>
      <c r="AF68" s="68" t="s">
        <v>3225</v>
      </c>
      <c r="AG68" s="89">
        <v>46191</v>
      </c>
      <c r="AH68" s="12" t="s">
        <v>3226</v>
      </c>
    </row>
    <row r="69" spans="1:34">
      <c r="A69" s="776">
        <v>605</v>
      </c>
      <c r="B69" s="385" t="s">
        <v>263</v>
      </c>
      <c r="C69" s="385" t="s">
        <v>476</v>
      </c>
      <c r="D69" s="174" t="s">
        <v>2284</v>
      </c>
      <c r="E69" s="174" t="s">
        <v>2857</v>
      </c>
      <c r="F69" s="91">
        <v>45971</v>
      </c>
      <c r="G69" s="91">
        <v>47067</v>
      </c>
      <c r="H69" s="687" t="s">
        <v>3227</v>
      </c>
      <c r="I69" s="174" t="s">
        <v>2333</v>
      </c>
      <c r="J69" s="177" t="s">
        <v>1951</v>
      </c>
      <c r="K69" s="514">
        <v>447.46</v>
      </c>
      <c r="L69" s="174" t="s">
        <v>1954</v>
      </c>
      <c r="M69" s="162">
        <v>22153440</v>
      </c>
      <c r="N69" s="347">
        <v>46192</v>
      </c>
      <c r="O69" s="91">
        <v>47288</v>
      </c>
      <c r="P69" s="687">
        <v>413890221288599</v>
      </c>
      <c r="Q69" s="10" t="s">
        <v>2333</v>
      </c>
      <c r="R69" s="297" t="s">
        <v>1951</v>
      </c>
      <c r="S69" s="478">
        <v>380</v>
      </c>
      <c r="T69" s="349"/>
      <c r="U69" s="184" t="s">
        <v>2071</v>
      </c>
      <c r="V69" s="184" t="s">
        <v>2071</v>
      </c>
      <c r="W69" s="184" t="s">
        <v>2071</v>
      </c>
      <c r="X69" s="349"/>
      <c r="Y69" s="349"/>
      <c r="Z69" s="349" t="s">
        <v>2071</v>
      </c>
      <c r="AA69" s="349"/>
      <c r="AB69" s="8" t="s">
        <v>3228</v>
      </c>
      <c r="AC69" s="8" t="s">
        <v>3229</v>
      </c>
      <c r="AD69" s="83" t="s">
        <v>3230</v>
      </c>
      <c r="AE69" s="67">
        <f t="shared" si="1"/>
        <v>827.46</v>
      </c>
      <c r="AF69" s="68" t="s">
        <v>3231</v>
      </c>
      <c r="AG69" s="485">
        <v>46192</v>
      </c>
      <c r="AH69" s="390"/>
    </row>
    <row r="70" spans="1:34">
      <c r="A70" s="780">
        <v>606</v>
      </c>
      <c r="B70" s="3" t="s">
        <v>251</v>
      </c>
      <c r="C70" s="68" t="s">
        <v>483</v>
      </c>
      <c r="D70" s="174" t="s">
        <v>2284</v>
      </c>
      <c r="E70" s="174" t="s">
        <v>2857</v>
      </c>
      <c r="F70" s="444">
        <v>45978</v>
      </c>
      <c r="G70" s="444">
        <v>47074</v>
      </c>
      <c r="H70" s="10" t="s">
        <v>3232</v>
      </c>
      <c r="I70" s="10" t="s">
        <v>2333</v>
      </c>
      <c r="J70" s="8" t="s">
        <v>1951</v>
      </c>
      <c r="K70" s="405">
        <v>439.27</v>
      </c>
      <c r="L70" s="6" t="s">
        <v>2287</v>
      </c>
      <c r="M70" s="8" t="s">
        <v>2940</v>
      </c>
      <c r="N70" s="630">
        <v>46136</v>
      </c>
      <c r="O70" s="78">
        <v>46867</v>
      </c>
      <c r="P70" s="6">
        <v>2780740</v>
      </c>
      <c r="Q70" s="94" t="s">
        <v>3233</v>
      </c>
      <c r="R70" s="376" t="s">
        <v>2860</v>
      </c>
      <c r="S70" s="405">
        <v>280</v>
      </c>
      <c r="T70" s="349"/>
      <c r="U70" s="184" t="s">
        <v>2071</v>
      </c>
      <c r="V70" s="184" t="s">
        <v>2071</v>
      </c>
      <c r="W70" s="184" t="s">
        <v>2071</v>
      </c>
      <c r="X70" s="349"/>
      <c r="Y70" s="349"/>
      <c r="Z70" s="375" t="s">
        <v>2071</v>
      </c>
      <c r="AA70" s="349"/>
      <c r="AB70" s="8" t="s">
        <v>3234</v>
      </c>
      <c r="AC70" s="8" t="s">
        <v>3235</v>
      </c>
      <c r="AD70" s="83" t="s">
        <v>2071</v>
      </c>
      <c r="AE70" s="67">
        <f t="shared" si="1"/>
        <v>719.27</v>
      </c>
      <c r="AF70" s="68" t="s">
        <v>3236</v>
      </c>
      <c r="AG70" s="89">
        <v>46136</v>
      </c>
      <c r="AH70" s="8"/>
    </row>
    <row r="71" spans="1:34">
      <c r="A71" s="320">
        <v>607</v>
      </c>
      <c r="B71" s="367" t="s">
        <v>58</v>
      </c>
      <c r="C71" s="367" t="s">
        <v>489</v>
      </c>
      <c r="D71" s="367" t="s">
        <v>2284</v>
      </c>
      <c r="E71" s="367" t="s">
        <v>2857</v>
      </c>
      <c r="F71" s="378">
        <v>45965</v>
      </c>
      <c r="G71" s="378">
        <v>47061</v>
      </c>
      <c r="H71" s="367" t="s">
        <v>3237</v>
      </c>
      <c r="I71" s="367" t="s">
        <v>2333</v>
      </c>
      <c r="J71" s="367" t="s">
        <v>1951</v>
      </c>
      <c r="K71" s="405">
        <v>439.27</v>
      </c>
      <c r="L71" s="789" t="s">
        <v>2287</v>
      </c>
      <c r="M71" s="451">
        <v>2194255</v>
      </c>
      <c r="N71" s="401">
        <v>45572</v>
      </c>
      <c r="O71" s="401">
        <v>46302</v>
      </c>
      <c r="P71" s="954">
        <v>2194255</v>
      </c>
      <c r="Q71" s="504" t="s">
        <v>2867</v>
      </c>
      <c r="R71" s="400" t="s">
        <v>2860</v>
      </c>
      <c r="S71" s="443">
        <v>298.89999999999998</v>
      </c>
      <c r="T71" s="373"/>
      <c r="U71" s="184" t="s">
        <v>2071</v>
      </c>
      <c r="V71" s="184" t="s">
        <v>2071</v>
      </c>
      <c r="W71" s="449" t="s">
        <v>2071</v>
      </c>
      <c r="X71" s="438"/>
      <c r="Y71" s="438"/>
      <c r="Z71" s="589" t="s">
        <v>2071</v>
      </c>
      <c r="AA71" s="438"/>
      <c r="AB71" s="17" t="s">
        <v>3238</v>
      </c>
      <c r="AC71" s="17" t="s">
        <v>3239</v>
      </c>
      <c r="AD71" s="181" t="s">
        <v>3240</v>
      </c>
      <c r="AE71" s="85">
        <f t="shared" si="1"/>
        <v>738.17</v>
      </c>
      <c r="AF71" s="69" t="s">
        <v>3241</v>
      </c>
      <c r="AG71" s="84">
        <v>45965</v>
      </c>
      <c r="AH71" s="390"/>
    </row>
    <row r="72" spans="1:34">
      <c r="A72" s="784">
        <v>608</v>
      </c>
      <c r="B72" s="154" t="s">
        <v>58</v>
      </c>
      <c r="C72" s="154" t="s">
        <v>496</v>
      </c>
      <c r="D72" s="154" t="s">
        <v>2284</v>
      </c>
      <c r="E72" s="154" t="s">
        <v>2857</v>
      </c>
      <c r="F72" s="387">
        <v>46007</v>
      </c>
      <c r="G72" s="84">
        <v>47103</v>
      </c>
      <c r="H72" s="17" t="s">
        <v>3242</v>
      </c>
      <c r="I72" s="154" t="s">
        <v>2333</v>
      </c>
      <c r="J72" s="154" t="s">
        <v>1951</v>
      </c>
      <c r="K72" s="509">
        <v>439.27</v>
      </c>
      <c r="L72" s="407" t="s">
        <v>1954</v>
      </c>
      <c r="M72" s="8">
        <v>22153440</v>
      </c>
      <c r="N72" s="84">
        <v>46174</v>
      </c>
      <c r="O72" s="485">
        <v>47270</v>
      </c>
      <c r="P72" s="469">
        <v>116613632083590</v>
      </c>
      <c r="Q72" s="154" t="s">
        <v>1964</v>
      </c>
      <c r="R72" s="154" t="s">
        <v>1951</v>
      </c>
      <c r="S72" s="509">
        <v>380</v>
      </c>
      <c r="T72" s="373"/>
      <c r="U72" s="184" t="s">
        <v>2071</v>
      </c>
      <c r="V72" s="464" t="s">
        <v>2071</v>
      </c>
      <c r="W72" s="184" t="s">
        <v>2071</v>
      </c>
      <c r="X72" s="349"/>
      <c r="Y72" s="349"/>
      <c r="Z72" s="375" t="s">
        <v>2071</v>
      </c>
      <c r="AA72" s="349"/>
      <c r="AB72" s="8" t="s">
        <v>3243</v>
      </c>
      <c r="AC72" s="8" t="s">
        <v>3244</v>
      </c>
      <c r="AD72" s="8" t="s">
        <v>3245</v>
      </c>
      <c r="AE72" s="67">
        <f t="shared" si="1"/>
        <v>819.27</v>
      </c>
      <c r="AF72" s="8" t="s">
        <v>3246</v>
      </c>
      <c r="AG72" s="89">
        <v>46174</v>
      </c>
      <c r="AH72" s="8"/>
    </row>
    <row r="73" spans="1:34">
      <c r="A73" s="782">
        <v>610</v>
      </c>
      <c r="B73" s="3" t="s">
        <v>64</v>
      </c>
      <c r="C73" s="3" t="s">
        <v>60</v>
      </c>
      <c r="D73" s="3" t="s">
        <v>2284</v>
      </c>
      <c r="E73" s="3" t="s">
        <v>2857</v>
      </c>
      <c r="F73" s="295">
        <v>46008</v>
      </c>
      <c r="G73" s="78">
        <v>47104</v>
      </c>
      <c r="H73" s="8" t="s">
        <v>3247</v>
      </c>
      <c r="I73" s="3" t="s">
        <v>2333</v>
      </c>
      <c r="J73" s="3" t="s">
        <v>1951</v>
      </c>
      <c r="K73" s="439">
        <v>461.8</v>
      </c>
      <c r="L73" s="3" t="s">
        <v>1954</v>
      </c>
      <c r="M73" s="162">
        <v>22153440</v>
      </c>
      <c r="N73" s="78">
        <v>46181</v>
      </c>
      <c r="O73" s="78">
        <v>47277</v>
      </c>
      <c r="P73" s="958" t="s">
        <v>3248</v>
      </c>
      <c r="Q73" s="3" t="s">
        <v>2333</v>
      </c>
      <c r="R73" s="3" t="s">
        <v>1951</v>
      </c>
      <c r="S73" s="457">
        <v>380</v>
      </c>
      <c r="T73" s="373"/>
      <c r="U73" s="184" t="s">
        <v>2071</v>
      </c>
      <c r="V73" s="184" t="s">
        <v>2071</v>
      </c>
      <c r="W73" s="461" t="s">
        <v>2071</v>
      </c>
      <c r="X73" s="382"/>
      <c r="Y73" s="382"/>
      <c r="Z73" s="382" t="s">
        <v>2071</v>
      </c>
      <c r="AA73" s="382"/>
      <c r="AB73" s="10" t="s">
        <v>3249</v>
      </c>
      <c r="AC73" s="10" t="s">
        <v>3250</v>
      </c>
      <c r="AD73" s="16" t="s">
        <v>2071</v>
      </c>
      <c r="AE73" s="92">
        <f t="shared" si="1"/>
        <v>841.8</v>
      </c>
      <c r="AF73" s="96" t="s">
        <v>3251</v>
      </c>
      <c r="AG73" s="78">
        <v>46181</v>
      </c>
      <c r="AH73" s="96"/>
    </row>
    <row r="74" spans="1:34">
      <c r="A74" s="776">
        <v>613</v>
      </c>
      <c r="B74" s="367" t="s">
        <v>58</v>
      </c>
      <c r="C74" s="396" t="s">
        <v>95</v>
      </c>
      <c r="D74" s="367" t="s">
        <v>2284</v>
      </c>
      <c r="E74" s="367" t="s">
        <v>2857</v>
      </c>
      <c r="F74" s="237">
        <v>45982</v>
      </c>
      <c r="G74" s="557">
        <v>47078</v>
      </c>
      <c r="H74" s="94" t="s">
        <v>3252</v>
      </c>
      <c r="I74" s="379" t="s">
        <v>2333</v>
      </c>
      <c r="J74" s="385" t="s">
        <v>1951</v>
      </c>
      <c r="K74" s="405">
        <v>439.27</v>
      </c>
      <c r="L74" s="618" t="s">
        <v>2287</v>
      </c>
      <c r="M74" s="427">
        <v>2194235</v>
      </c>
      <c r="N74" s="470">
        <v>45596</v>
      </c>
      <c r="O74" s="470">
        <v>46690</v>
      </c>
      <c r="P74" s="999">
        <v>2194235</v>
      </c>
      <c r="Q74" s="500" t="s">
        <v>2859</v>
      </c>
      <c r="R74" s="618" t="s">
        <v>2860</v>
      </c>
      <c r="S74" s="1000">
        <v>298.89999999999998</v>
      </c>
      <c r="T74" s="373"/>
      <c r="U74" s="184" t="s">
        <v>2071</v>
      </c>
      <c r="V74" s="184" t="s">
        <v>2071</v>
      </c>
      <c r="W74" s="184" t="s">
        <v>2071</v>
      </c>
      <c r="X74" s="349"/>
      <c r="Y74" s="349"/>
      <c r="Z74" s="375" t="s">
        <v>2071</v>
      </c>
      <c r="AA74" s="349"/>
      <c r="AB74" s="8" t="s">
        <v>3253</v>
      </c>
      <c r="AC74" s="8" t="s">
        <v>3254</v>
      </c>
      <c r="AD74" s="83" t="s">
        <v>3255</v>
      </c>
      <c r="AE74" s="67">
        <f t="shared" si="1"/>
        <v>738.17</v>
      </c>
      <c r="AF74" s="68" t="s">
        <v>3256</v>
      </c>
      <c r="AG74" s="78">
        <v>45982</v>
      </c>
      <c r="AH74" s="68"/>
    </row>
    <row r="75" spans="1:34">
      <c r="A75" s="319">
        <v>617</v>
      </c>
      <c r="B75" s="292" t="s">
        <v>159</v>
      </c>
      <c r="C75" s="939" t="s">
        <v>158</v>
      </c>
      <c r="D75" s="939" t="s">
        <v>1956</v>
      </c>
      <c r="E75" s="936" t="s">
        <v>3190</v>
      </c>
      <c r="F75" s="932">
        <v>45226</v>
      </c>
      <c r="G75" s="947">
        <v>46322</v>
      </c>
      <c r="H75" s="949">
        <v>9307724</v>
      </c>
      <c r="I75" s="934" t="s">
        <v>2785</v>
      </c>
      <c r="J75" s="941" t="s">
        <v>1951</v>
      </c>
      <c r="K75" s="928">
        <v>507.1</v>
      </c>
      <c r="L75" s="463" t="s">
        <v>2284</v>
      </c>
      <c r="M75" s="218" t="s">
        <v>2918</v>
      </c>
      <c r="N75" s="295">
        <v>45946</v>
      </c>
      <c r="O75" s="295">
        <v>47042</v>
      </c>
      <c r="P75" s="68" t="s">
        <v>3257</v>
      </c>
      <c r="Q75" s="96" t="s">
        <v>2859</v>
      </c>
      <c r="R75" s="16" t="s">
        <v>2860</v>
      </c>
      <c r="S75" s="617">
        <v>192.2</v>
      </c>
      <c r="T75" s="448"/>
      <c r="U75" s="184" t="s">
        <v>2071</v>
      </c>
      <c r="V75" s="184" t="s">
        <v>2071</v>
      </c>
      <c r="W75" s="184" t="s">
        <v>2071</v>
      </c>
      <c r="X75" s="449"/>
      <c r="Y75" s="449"/>
      <c r="Z75" s="375" t="s">
        <v>2071</v>
      </c>
      <c r="AA75" s="184"/>
      <c r="AB75" s="8" t="s">
        <v>3258</v>
      </c>
      <c r="AC75" s="8" t="s">
        <v>3259</v>
      </c>
      <c r="AD75" s="83" t="s">
        <v>3260</v>
      </c>
      <c r="AE75" s="67">
        <f t="shared" si="1"/>
        <v>699.3</v>
      </c>
      <c r="AF75" s="68" t="s">
        <v>3261</v>
      </c>
      <c r="AG75" s="78">
        <v>45946</v>
      </c>
      <c r="AH75" s="68"/>
    </row>
    <row r="76" spans="1:34">
      <c r="A76" s="776">
        <v>618</v>
      </c>
      <c r="B76" s="367" t="s">
        <v>459</v>
      </c>
      <c r="C76" s="94" t="s">
        <v>517</v>
      </c>
      <c r="D76" s="367" t="s">
        <v>2284</v>
      </c>
      <c r="E76" s="174" t="s">
        <v>2857</v>
      </c>
      <c r="F76" s="91">
        <v>45971</v>
      </c>
      <c r="G76" s="91">
        <v>47067</v>
      </c>
      <c r="H76" s="632" t="s">
        <v>3262</v>
      </c>
      <c r="I76" s="10" t="s">
        <v>2333</v>
      </c>
      <c r="J76" s="10" t="s">
        <v>1951</v>
      </c>
      <c r="K76" s="92">
        <v>453.09</v>
      </c>
      <c r="L76" s="292" t="s">
        <v>2297</v>
      </c>
      <c r="M76" s="3">
        <v>23348</v>
      </c>
      <c r="N76" s="378">
        <v>46121</v>
      </c>
      <c r="O76" s="557">
        <v>46852</v>
      </c>
      <c r="P76" s="324" t="s">
        <v>3263</v>
      </c>
      <c r="Q76" s="379" t="s">
        <v>2333</v>
      </c>
      <c r="R76" s="385" t="s">
        <v>1951</v>
      </c>
      <c r="S76" s="439">
        <v>357.24</v>
      </c>
      <c r="T76" s="822" t="s">
        <v>3264</v>
      </c>
      <c r="U76" s="382" t="s">
        <v>2934</v>
      </c>
      <c r="V76" s="377" t="s">
        <v>2370</v>
      </c>
      <c r="W76" s="7" t="s">
        <v>3265</v>
      </c>
      <c r="X76" s="373" t="s">
        <v>2880</v>
      </c>
      <c r="Y76" s="184">
        <v>0</v>
      </c>
      <c r="Z76" s="438" t="s">
        <v>2071</v>
      </c>
      <c r="AA76" s="184"/>
      <c r="AB76" s="8" t="s">
        <v>3266</v>
      </c>
      <c r="AC76" s="8" t="s">
        <v>3267</v>
      </c>
      <c r="AD76" s="83" t="s">
        <v>2071</v>
      </c>
      <c r="AE76" s="67">
        <f t="shared" si="1"/>
        <v>810.32999999999993</v>
      </c>
      <c r="AF76" s="68" t="s">
        <v>3268</v>
      </c>
      <c r="AG76" s="78">
        <v>46121</v>
      </c>
      <c r="AH76" s="69"/>
    </row>
    <row r="77" spans="1:34">
      <c r="A77" s="773">
        <v>619</v>
      </c>
      <c r="B77" s="154" t="s">
        <v>58</v>
      </c>
      <c r="C77" s="154" t="s">
        <v>151</v>
      </c>
      <c r="D77" s="154" t="s">
        <v>2284</v>
      </c>
      <c r="E77" s="407" t="s">
        <v>2857</v>
      </c>
      <c r="F77" s="378">
        <v>46000</v>
      </c>
      <c r="G77" s="557">
        <v>47096</v>
      </c>
      <c r="H77" s="388" t="s">
        <v>3269</v>
      </c>
      <c r="I77" s="407" t="s">
        <v>2333</v>
      </c>
      <c r="J77" s="385" t="s">
        <v>1951</v>
      </c>
      <c r="K77" s="405">
        <v>439.27</v>
      </c>
      <c r="L77" s="400" t="s">
        <v>2287</v>
      </c>
      <c r="M77" s="658">
        <v>2194778</v>
      </c>
      <c r="N77" s="401">
        <v>45595</v>
      </c>
      <c r="O77" s="639">
        <v>46325</v>
      </c>
      <c r="P77" s="370">
        <v>2194778</v>
      </c>
      <c r="Q77" s="504" t="s">
        <v>2859</v>
      </c>
      <c r="R77" s="638" t="s">
        <v>2860</v>
      </c>
      <c r="S77" s="443">
        <v>298.89999999999998</v>
      </c>
      <c r="T77" s="374"/>
      <c r="U77" s="184" t="s">
        <v>2071</v>
      </c>
      <c r="V77" s="184" t="s">
        <v>2071</v>
      </c>
      <c r="W77" s="184" t="s">
        <v>2071</v>
      </c>
      <c r="X77" s="461"/>
      <c r="Y77" s="461"/>
      <c r="Z77" s="438" t="s">
        <v>2071</v>
      </c>
      <c r="AA77" s="184"/>
      <c r="AB77" s="8" t="s">
        <v>3270</v>
      </c>
      <c r="AC77" s="8" t="s">
        <v>3271</v>
      </c>
      <c r="AD77" s="83" t="s">
        <v>3272</v>
      </c>
      <c r="AE77" s="67">
        <f t="shared" si="1"/>
        <v>738.17</v>
      </c>
      <c r="AF77" s="68" t="s">
        <v>3273</v>
      </c>
      <c r="AG77" s="78">
        <v>46001</v>
      </c>
      <c r="AH77" s="65"/>
    </row>
    <row r="78" spans="1:34">
      <c r="A78" s="1077">
        <v>622</v>
      </c>
      <c r="B78" s="1078" t="s">
        <v>58</v>
      </c>
      <c r="C78" s="1079" t="s">
        <v>95</v>
      </c>
      <c r="D78" s="442" t="s">
        <v>2294</v>
      </c>
      <c r="E78" s="17" t="s">
        <v>3274</v>
      </c>
      <c r="F78" s="475">
        <v>46009</v>
      </c>
      <c r="G78" s="475">
        <v>46739</v>
      </c>
      <c r="H78" s="17" t="s">
        <v>3275</v>
      </c>
      <c r="I78" s="442" t="s">
        <v>2333</v>
      </c>
      <c r="J78" s="442" t="s">
        <v>1951</v>
      </c>
      <c r="K78" s="477">
        <v>710</v>
      </c>
      <c r="L78" s="442" t="s">
        <v>2287</v>
      </c>
      <c r="M78" s="581">
        <v>2194283</v>
      </c>
      <c r="N78" s="415">
        <v>45596</v>
      </c>
      <c r="O78" s="787">
        <v>46326</v>
      </c>
      <c r="P78" s="427">
        <v>2194283</v>
      </c>
      <c r="Q78" s="788" t="s">
        <v>2859</v>
      </c>
      <c r="R78" s="417" t="s">
        <v>2860</v>
      </c>
      <c r="S78" s="516">
        <v>320.14</v>
      </c>
      <c r="T78" s="373"/>
      <c r="U78" s="184" t="s">
        <v>2071</v>
      </c>
      <c r="V78" s="184" t="s">
        <v>2071</v>
      </c>
      <c r="W78" s="184" t="s">
        <v>2071</v>
      </c>
      <c r="X78" s="382"/>
      <c r="Y78" s="382"/>
      <c r="Z78" s="375" t="s">
        <v>2071</v>
      </c>
      <c r="AA78" s="349"/>
      <c r="AB78" s="8" t="s">
        <v>3276</v>
      </c>
      <c r="AC78" s="8" t="s">
        <v>3277</v>
      </c>
      <c r="AD78" s="83" t="s">
        <v>2071</v>
      </c>
      <c r="AE78" s="67">
        <f t="shared" si="1"/>
        <v>1030.1399999999999</v>
      </c>
      <c r="AF78" s="68" t="s">
        <v>3278</v>
      </c>
      <c r="AG78" s="78">
        <v>46009</v>
      </c>
      <c r="AH78" s="433"/>
    </row>
    <row r="79" spans="1:34">
      <c r="A79" s="778">
        <v>623</v>
      </c>
      <c r="B79" s="3" t="s">
        <v>112</v>
      </c>
      <c r="C79" s="8" t="s">
        <v>536</v>
      </c>
      <c r="D79" s="8" t="s">
        <v>2284</v>
      </c>
      <c r="E79" s="3" t="s">
        <v>3042</v>
      </c>
      <c r="F79" s="78">
        <v>46211</v>
      </c>
      <c r="G79" s="78">
        <v>47307</v>
      </c>
      <c r="H79" s="81" t="s">
        <v>3279</v>
      </c>
      <c r="I79" s="8" t="s">
        <v>2333</v>
      </c>
      <c r="J79" s="8" t="s">
        <v>1951</v>
      </c>
      <c r="K79" s="428">
        <v>416.41</v>
      </c>
      <c r="L79" s="8" t="s">
        <v>3280</v>
      </c>
      <c r="M79" s="8"/>
      <c r="N79" s="413">
        <v>45523</v>
      </c>
      <c r="O79" s="78">
        <v>46618</v>
      </c>
      <c r="P79" s="406" t="s">
        <v>3281</v>
      </c>
      <c r="Q79" s="8" t="s">
        <v>3282</v>
      </c>
      <c r="R79" s="8" t="s">
        <v>2866</v>
      </c>
      <c r="S79" s="457">
        <v>200</v>
      </c>
      <c r="T79" s="373"/>
      <c r="U79" s="184" t="s">
        <v>2071</v>
      </c>
      <c r="V79" s="184" t="s">
        <v>2071</v>
      </c>
      <c r="W79" s="184" t="s">
        <v>2071</v>
      </c>
      <c r="X79" s="349"/>
      <c r="Y79" s="349"/>
      <c r="Z79" s="349" t="s">
        <v>2071</v>
      </c>
      <c r="AA79" s="349"/>
      <c r="AB79" s="8" t="s">
        <v>3283</v>
      </c>
      <c r="AC79" s="8" t="s">
        <v>3284</v>
      </c>
      <c r="AD79" s="83" t="s">
        <v>2071</v>
      </c>
      <c r="AE79" s="67">
        <f t="shared" si="1"/>
        <v>616.41000000000008</v>
      </c>
      <c r="AF79" s="68" t="s">
        <v>3285</v>
      </c>
      <c r="AG79" s="78">
        <v>46224</v>
      </c>
      <c r="AH79" s="65"/>
    </row>
    <row r="80" spans="1:34">
      <c r="A80" s="780">
        <v>624</v>
      </c>
      <c r="B80" s="419" t="s">
        <v>58</v>
      </c>
      <c r="C80" s="472" t="s">
        <v>543</v>
      </c>
      <c r="D80" s="174" t="s">
        <v>2284</v>
      </c>
      <c r="E80" s="174" t="s">
        <v>2857</v>
      </c>
      <c r="F80" s="347">
        <v>45995</v>
      </c>
      <c r="G80" s="91">
        <v>47091</v>
      </c>
      <c r="H80" s="10" t="s">
        <v>3286</v>
      </c>
      <c r="I80" s="10" t="s">
        <v>2333</v>
      </c>
      <c r="J80" s="10" t="s">
        <v>1951</v>
      </c>
      <c r="K80" s="405">
        <v>439.27</v>
      </c>
      <c r="L80" s="472" t="s">
        <v>2287</v>
      </c>
      <c r="M80" s="491">
        <v>2194715</v>
      </c>
      <c r="N80" s="415">
        <v>45595</v>
      </c>
      <c r="O80" s="415">
        <v>46690</v>
      </c>
      <c r="P80" s="416">
        <v>2194715</v>
      </c>
      <c r="Q80" s="417" t="s">
        <v>2859</v>
      </c>
      <c r="R80" s="417" t="s">
        <v>2860</v>
      </c>
      <c r="S80" s="516">
        <v>298.89999999999998</v>
      </c>
      <c r="T80" s="448"/>
      <c r="U80" s="184" t="s">
        <v>2071</v>
      </c>
      <c r="V80" s="184" t="s">
        <v>2071</v>
      </c>
      <c r="W80" s="184" t="s">
        <v>2071</v>
      </c>
      <c r="X80" s="438"/>
      <c r="Y80" s="438"/>
      <c r="Z80" s="375" t="s">
        <v>2071</v>
      </c>
      <c r="AA80" s="438"/>
      <c r="AB80" s="8" t="s">
        <v>3287</v>
      </c>
      <c r="AC80" s="8" t="s">
        <v>3288</v>
      </c>
      <c r="AD80" s="83" t="s">
        <v>2071</v>
      </c>
      <c r="AE80" s="67">
        <f t="shared" si="1"/>
        <v>738.17</v>
      </c>
      <c r="AF80" s="68" t="s">
        <v>3289</v>
      </c>
      <c r="AG80" s="78">
        <v>45995</v>
      </c>
      <c r="AH80" s="65"/>
    </row>
    <row r="81" spans="1:34">
      <c r="A81" s="320">
        <v>625</v>
      </c>
      <c r="B81" s="367" t="s">
        <v>446</v>
      </c>
      <c r="C81" s="367" t="s">
        <v>94</v>
      </c>
      <c r="D81" s="385" t="s">
        <v>2284</v>
      </c>
      <c r="E81" s="94" t="s">
        <v>2857</v>
      </c>
      <c r="F81" s="237">
        <v>45951</v>
      </c>
      <c r="G81" s="237">
        <v>47047</v>
      </c>
      <c r="H81" s="380" t="s">
        <v>3290</v>
      </c>
      <c r="I81" s="94" t="s">
        <v>1964</v>
      </c>
      <c r="J81" s="94" t="s">
        <v>1951</v>
      </c>
      <c r="K81" s="468">
        <v>433.98</v>
      </c>
      <c r="L81" s="369" t="s">
        <v>2287</v>
      </c>
      <c r="M81" s="696" t="s">
        <v>3291</v>
      </c>
      <c r="N81" s="371">
        <v>45572</v>
      </c>
      <c r="O81" s="371">
        <v>46302</v>
      </c>
      <c r="P81" s="696" t="s">
        <v>3291</v>
      </c>
      <c r="Q81" s="369" t="s">
        <v>2867</v>
      </c>
      <c r="R81" s="369" t="s">
        <v>2860</v>
      </c>
      <c r="S81" s="331">
        <v>298.89999999999998</v>
      </c>
      <c r="T81" s="373"/>
      <c r="U81" s="184" t="s">
        <v>2071</v>
      </c>
      <c r="V81" s="184" t="s">
        <v>2071</v>
      </c>
      <c r="W81" s="184" t="s">
        <v>2071</v>
      </c>
      <c r="X81" s="349"/>
      <c r="Y81" s="349"/>
      <c r="Z81" s="375" t="s">
        <v>2071</v>
      </c>
      <c r="AA81" s="349"/>
      <c r="AB81" s="68" t="s">
        <v>3292</v>
      </c>
      <c r="AC81" s="8" t="s">
        <v>3293</v>
      </c>
      <c r="AD81" s="83" t="s">
        <v>3294</v>
      </c>
      <c r="AE81" s="67">
        <f t="shared" si="1"/>
        <v>732.88</v>
      </c>
      <c r="AF81" s="68" t="s">
        <v>3295</v>
      </c>
      <c r="AG81" s="78">
        <v>45951</v>
      </c>
      <c r="AH81" s="69"/>
    </row>
    <row r="82" spans="1:34">
      <c r="A82" s="774">
        <v>626</v>
      </c>
      <c r="B82" s="418" t="s">
        <v>58</v>
      </c>
      <c r="C82" s="513" t="s">
        <v>95</v>
      </c>
      <c r="D82" s="418" t="s">
        <v>2284</v>
      </c>
      <c r="E82" s="154" t="s">
        <v>2857</v>
      </c>
      <c r="F82" s="84">
        <v>45980</v>
      </c>
      <c r="G82" s="387">
        <v>47076</v>
      </c>
      <c r="H82" s="581" t="s">
        <v>3296</v>
      </c>
      <c r="I82" s="442" t="s">
        <v>2333</v>
      </c>
      <c r="J82" s="442" t="s">
        <v>1951</v>
      </c>
      <c r="K82" s="405">
        <v>439.27</v>
      </c>
      <c r="L82" s="417" t="s">
        <v>2287</v>
      </c>
      <c r="M82" s="581">
        <v>2194252</v>
      </c>
      <c r="N82" s="475">
        <v>45595</v>
      </c>
      <c r="O82" s="475">
        <v>46690</v>
      </c>
      <c r="P82" s="581">
        <v>2194252</v>
      </c>
      <c r="Q82" s="442" t="s">
        <v>2859</v>
      </c>
      <c r="R82" s="442" t="s">
        <v>2860</v>
      </c>
      <c r="S82" s="584">
        <v>298.89999999999998</v>
      </c>
      <c r="T82" s="448"/>
      <c r="U82" s="449" t="s">
        <v>2071</v>
      </c>
      <c r="V82" s="449" t="s">
        <v>2071</v>
      </c>
      <c r="W82" s="449" t="s">
        <v>2071</v>
      </c>
      <c r="X82" s="495"/>
      <c r="Y82" s="495"/>
      <c r="Z82" s="438" t="s">
        <v>2071</v>
      </c>
      <c r="AA82" s="495"/>
      <c r="AB82" s="69" t="s">
        <v>3297</v>
      </c>
      <c r="AC82" s="17" t="s">
        <v>3298</v>
      </c>
      <c r="AD82" s="181" t="s">
        <v>2071</v>
      </c>
      <c r="AE82" s="85">
        <f t="shared" si="1"/>
        <v>738.17</v>
      </c>
      <c r="AF82" s="69" t="s">
        <v>3299</v>
      </c>
      <c r="AG82" s="485">
        <v>45980</v>
      </c>
      <c r="AH82" s="17"/>
    </row>
    <row r="83" spans="1:34">
      <c r="A83" s="780">
        <v>627</v>
      </c>
      <c r="B83" s="3" t="s">
        <v>308</v>
      </c>
      <c r="C83" s="8" t="s">
        <v>307</v>
      </c>
      <c r="D83" s="3" t="s">
        <v>2284</v>
      </c>
      <c r="E83" s="3" t="s">
        <v>2857</v>
      </c>
      <c r="F83" s="295">
        <v>45996</v>
      </c>
      <c r="G83" s="78">
        <v>47092</v>
      </c>
      <c r="H83" s="81" t="s">
        <v>3300</v>
      </c>
      <c r="I83" s="8" t="s">
        <v>2333</v>
      </c>
      <c r="J83" s="8" t="s">
        <v>1951</v>
      </c>
      <c r="K83" s="509">
        <v>450.25</v>
      </c>
      <c r="L83" s="83" t="s">
        <v>1954</v>
      </c>
      <c r="M83" s="3">
        <v>3249939</v>
      </c>
      <c r="N83" s="78">
        <v>46064</v>
      </c>
      <c r="O83" s="78">
        <v>47160</v>
      </c>
      <c r="P83" s="689" t="s">
        <v>3301</v>
      </c>
      <c r="Q83" s="8" t="s">
        <v>2333</v>
      </c>
      <c r="R83" s="8" t="s">
        <v>1951</v>
      </c>
      <c r="S83" s="695">
        <v>380</v>
      </c>
      <c r="T83" s="824" t="s">
        <v>3302</v>
      </c>
      <c r="U83" s="8" t="s">
        <v>2878</v>
      </c>
      <c r="V83" s="184" t="s">
        <v>2010</v>
      </c>
      <c r="W83" s="184" t="s">
        <v>3303</v>
      </c>
      <c r="X83" s="481" t="s">
        <v>2880</v>
      </c>
      <c r="Y83" s="481"/>
      <c r="Z83" s="375" t="s">
        <v>2071</v>
      </c>
      <c r="AA83" s="481"/>
      <c r="AB83" s="8" t="s">
        <v>3304</v>
      </c>
      <c r="AC83" s="8" t="s">
        <v>3305</v>
      </c>
      <c r="AD83" s="8" t="s">
        <v>2071</v>
      </c>
      <c r="AE83" s="67">
        <f t="shared" si="1"/>
        <v>830.25</v>
      </c>
      <c r="AF83" s="8" t="s">
        <v>3306</v>
      </c>
      <c r="AG83" s="78">
        <v>46064</v>
      </c>
      <c r="AH83" s="7"/>
    </row>
    <row r="84" spans="1:34">
      <c r="A84" s="705">
        <v>629</v>
      </c>
      <c r="B84" s="367" t="s">
        <v>58</v>
      </c>
      <c r="C84" s="94" t="s">
        <v>565</v>
      </c>
      <c r="D84" s="1087" t="s">
        <v>2284</v>
      </c>
      <c r="E84" s="297" t="s">
        <v>2857</v>
      </c>
      <c r="F84" s="91">
        <v>45980</v>
      </c>
      <c r="G84" s="347">
        <v>47076</v>
      </c>
      <c r="H84" s="406" t="s">
        <v>3307</v>
      </c>
      <c r="I84" s="10" t="s">
        <v>2333</v>
      </c>
      <c r="J84" s="10" t="s">
        <v>1951</v>
      </c>
      <c r="K84" s="405">
        <v>439.27</v>
      </c>
      <c r="L84" s="23" t="s">
        <v>2285</v>
      </c>
      <c r="M84" s="790" t="s">
        <v>3308</v>
      </c>
      <c r="N84" s="791">
        <v>45143</v>
      </c>
      <c r="O84" s="791">
        <v>46239</v>
      </c>
      <c r="P84" s="790" t="s">
        <v>3309</v>
      </c>
      <c r="Q84" s="708" t="s">
        <v>3310</v>
      </c>
      <c r="R84" s="708" t="s">
        <v>1951</v>
      </c>
      <c r="S84" s="792">
        <v>759.98</v>
      </c>
      <c r="T84" s="823" t="s">
        <v>3311</v>
      </c>
      <c r="U84" s="382" t="s">
        <v>2934</v>
      </c>
      <c r="V84" s="408" t="s">
        <v>2370</v>
      </c>
      <c r="W84" s="11" t="s">
        <v>3312</v>
      </c>
      <c r="X84" s="374" t="s">
        <v>2880</v>
      </c>
      <c r="Y84" s="382"/>
      <c r="Z84" s="382" t="s">
        <v>2071</v>
      </c>
      <c r="AA84" s="437"/>
      <c r="AB84" s="10" t="s">
        <v>3313</v>
      </c>
      <c r="AC84" s="10" t="s">
        <v>3314</v>
      </c>
      <c r="AD84" s="16" t="s">
        <v>3315</v>
      </c>
      <c r="AE84" s="92">
        <f t="shared" si="1"/>
        <v>1199.25</v>
      </c>
      <c r="AF84" s="96" t="s">
        <v>3316</v>
      </c>
      <c r="AG84" s="97">
        <v>45980</v>
      </c>
      <c r="AH84" s="11"/>
    </row>
    <row r="85" spans="1:34">
      <c r="A85" s="1077">
        <v>631</v>
      </c>
      <c r="B85" s="1094" t="s">
        <v>58</v>
      </c>
      <c r="C85" s="1094" t="s">
        <v>320</v>
      </c>
      <c r="D85" s="3" t="s">
        <v>2284</v>
      </c>
      <c r="E85" s="217" t="s">
        <v>2857</v>
      </c>
      <c r="F85" s="347">
        <v>45999</v>
      </c>
      <c r="G85" s="97">
        <v>47095</v>
      </c>
      <c r="H85" s="406" t="s">
        <v>3317</v>
      </c>
      <c r="I85" s="296" t="s">
        <v>2333</v>
      </c>
      <c r="J85" s="174" t="s">
        <v>1951</v>
      </c>
      <c r="K85" s="405">
        <v>439.27</v>
      </c>
      <c r="L85" s="369" t="s">
        <v>2287</v>
      </c>
      <c r="M85" s="403">
        <v>2194700</v>
      </c>
      <c r="N85" s="371">
        <v>45572</v>
      </c>
      <c r="O85" s="371">
        <v>46302</v>
      </c>
      <c r="P85" s="403">
        <v>2194700</v>
      </c>
      <c r="Q85" s="369" t="s">
        <v>2867</v>
      </c>
      <c r="R85" s="369" t="s">
        <v>2860</v>
      </c>
      <c r="S85" s="577">
        <v>320.14</v>
      </c>
      <c r="T85" s="374"/>
      <c r="U85" s="184" t="s">
        <v>2071</v>
      </c>
      <c r="V85" s="184" t="s">
        <v>2071</v>
      </c>
      <c r="W85" s="184" t="s">
        <v>2071</v>
      </c>
      <c r="X85" s="382"/>
      <c r="Y85" s="382"/>
      <c r="Z85" s="375" t="s">
        <v>2071</v>
      </c>
      <c r="AA85" s="349"/>
      <c r="AB85" s="68" t="s">
        <v>3318</v>
      </c>
      <c r="AC85" s="8" t="s">
        <v>3319</v>
      </c>
      <c r="AD85" s="83" t="s">
        <v>2071</v>
      </c>
      <c r="AE85" s="67">
        <f t="shared" si="1"/>
        <v>759.41</v>
      </c>
      <c r="AF85" s="68" t="s">
        <v>3320</v>
      </c>
      <c r="AG85" s="78">
        <v>45999</v>
      </c>
      <c r="AH85" s="104"/>
    </row>
    <row r="86" spans="1:34">
      <c r="A86" s="776">
        <v>632</v>
      </c>
      <c r="B86" s="385" t="s">
        <v>263</v>
      </c>
      <c r="C86" s="367" t="s">
        <v>287</v>
      </c>
      <c r="D86" s="385" t="s">
        <v>2284</v>
      </c>
      <c r="E86" s="17" t="s">
        <v>2857</v>
      </c>
      <c r="F86" s="387">
        <v>45992</v>
      </c>
      <c r="G86" s="84">
        <v>47088</v>
      </c>
      <c r="H86" s="6" t="s">
        <v>3321</v>
      </c>
      <c r="I86" s="367" t="s">
        <v>1964</v>
      </c>
      <c r="J86" s="385" t="s">
        <v>1951</v>
      </c>
      <c r="K86" s="514">
        <v>447.46</v>
      </c>
      <c r="L86" s="174" t="s">
        <v>1954</v>
      </c>
      <c r="M86" s="162">
        <v>22153440</v>
      </c>
      <c r="N86" s="347">
        <v>46198</v>
      </c>
      <c r="O86" s="91">
        <v>47294</v>
      </c>
      <c r="P86" s="348">
        <v>410000221274495</v>
      </c>
      <c r="Q86" s="10" t="s">
        <v>2333</v>
      </c>
      <c r="R86" s="297" t="s">
        <v>1951</v>
      </c>
      <c r="S86" s="571">
        <v>380</v>
      </c>
      <c r="T86" s="448"/>
      <c r="U86" s="184" t="s">
        <v>2071</v>
      </c>
      <c r="V86" s="184" t="s">
        <v>2071</v>
      </c>
      <c r="W86" s="184" t="s">
        <v>2071</v>
      </c>
      <c r="X86" s="438"/>
      <c r="Y86" s="438"/>
      <c r="Z86" s="375" t="s">
        <v>2071</v>
      </c>
      <c r="AA86" s="349"/>
      <c r="AB86" s="68" t="s">
        <v>3322</v>
      </c>
      <c r="AC86" s="8" t="s">
        <v>3323</v>
      </c>
      <c r="AD86" s="83" t="s">
        <v>3324</v>
      </c>
      <c r="AE86" s="67">
        <f t="shared" si="1"/>
        <v>827.46</v>
      </c>
      <c r="AF86" s="68" t="s">
        <v>3325</v>
      </c>
      <c r="AG86" s="78">
        <v>46198</v>
      </c>
      <c r="AH86" s="65"/>
    </row>
    <row r="87" spans="1:34">
      <c r="A87" s="699">
        <v>633</v>
      </c>
      <c r="B87" s="154" t="s">
        <v>50</v>
      </c>
      <c r="C87" s="181" t="s">
        <v>49</v>
      </c>
      <c r="D87" s="154" t="s">
        <v>2284</v>
      </c>
      <c r="E87" s="154" t="s">
        <v>2857</v>
      </c>
      <c r="F87" s="401">
        <v>46009</v>
      </c>
      <c r="G87" s="401">
        <v>47105</v>
      </c>
      <c r="H87" s="388" t="s">
        <v>3326</v>
      </c>
      <c r="I87" s="154" t="s">
        <v>2333</v>
      </c>
      <c r="J87" s="407" t="s">
        <v>1951</v>
      </c>
      <c r="K87" s="468">
        <v>433.98</v>
      </c>
      <c r="L87" s="832" t="s">
        <v>2289</v>
      </c>
      <c r="M87" s="832" t="s">
        <v>3327</v>
      </c>
      <c r="N87" s="703">
        <v>43837</v>
      </c>
      <c r="O87" s="871" t="s">
        <v>1968</v>
      </c>
      <c r="P87" s="834" t="s">
        <v>3328</v>
      </c>
      <c r="Q87" s="708" t="s">
        <v>1987</v>
      </c>
      <c r="R87" s="835" t="s">
        <v>1951</v>
      </c>
      <c r="S87" s="836">
        <v>934.14</v>
      </c>
      <c r="T87" s="822" t="s">
        <v>3329</v>
      </c>
      <c r="U87" s="382" t="s">
        <v>2934</v>
      </c>
      <c r="V87" s="377" t="s">
        <v>2370</v>
      </c>
      <c r="W87" s="7" t="s">
        <v>3330</v>
      </c>
      <c r="X87" s="373" t="s">
        <v>2880</v>
      </c>
      <c r="Y87" s="184"/>
      <c r="Z87" s="438" t="s">
        <v>2071</v>
      </c>
      <c r="AA87" s="499"/>
      <c r="AB87" s="8" t="s">
        <v>3331</v>
      </c>
      <c r="AC87" s="8" t="s">
        <v>3332</v>
      </c>
      <c r="AD87" s="83" t="s">
        <v>3333</v>
      </c>
      <c r="AE87" s="67">
        <f t="shared" si="1"/>
        <v>1368.12</v>
      </c>
      <c r="AF87" s="68" t="s">
        <v>3334</v>
      </c>
      <c r="AG87" s="78">
        <v>46009</v>
      </c>
      <c r="AH87" s="480"/>
    </row>
    <row r="88" spans="1:34">
      <c r="A88" s="780">
        <v>635</v>
      </c>
      <c r="B88" s="3" t="s">
        <v>251</v>
      </c>
      <c r="C88" s="8" t="s">
        <v>250</v>
      </c>
      <c r="D88" s="8" t="s">
        <v>1956</v>
      </c>
      <c r="E88" s="3" t="s">
        <v>2917</v>
      </c>
      <c r="F88" s="78">
        <v>46059</v>
      </c>
      <c r="G88" s="78">
        <v>47155</v>
      </c>
      <c r="H88" s="8">
        <v>10161792</v>
      </c>
      <c r="I88" s="8" t="s">
        <v>2333</v>
      </c>
      <c r="J88" s="8" t="s">
        <v>1951</v>
      </c>
      <c r="K88" s="331">
        <v>360</v>
      </c>
      <c r="L88" s="217" t="s">
        <v>2284</v>
      </c>
      <c r="M88" s="3" t="s">
        <v>2918</v>
      </c>
      <c r="N88" s="295">
        <v>45951</v>
      </c>
      <c r="O88" s="450">
        <v>47047</v>
      </c>
      <c r="P88" s="298" t="s">
        <v>3335</v>
      </c>
      <c r="Q88" s="407" t="s">
        <v>3336</v>
      </c>
      <c r="R88" s="458" t="s">
        <v>2860</v>
      </c>
      <c r="S88" s="331">
        <v>227.82</v>
      </c>
      <c r="T88" s="374"/>
      <c r="U88" s="184" t="s">
        <v>2071</v>
      </c>
      <c r="V88" s="184" t="s">
        <v>2071</v>
      </c>
      <c r="W88" s="184" t="s">
        <v>2071</v>
      </c>
      <c r="X88" s="382"/>
      <c r="Y88" s="382"/>
      <c r="Z88" s="375" t="s">
        <v>2071</v>
      </c>
      <c r="AA88" s="349"/>
      <c r="AB88" s="68" t="s">
        <v>3337</v>
      </c>
      <c r="AC88" s="8" t="s">
        <v>3338</v>
      </c>
      <c r="AD88" s="83" t="s">
        <v>2071</v>
      </c>
      <c r="AE88" s="67">
        <f t="shared" si="1"/>
        <v>587.81999999999994</v>
      </c>
      <c r="AF88" s="68" t="s">
        <v>3339</v>
      </c>
      <c r="AG88" s="78">
        <v>46059</v>
      </c>
      <c r="AH88" s="68"/>
    </row>
    <row r="89" spans="1:34">
      <c r="A89" s="783">
        <v>636</v>
      </c>
      <c r="B89" s="174" t="s">
        <v>58</v>
      </c>
      <c r="C89" s="297" t="s">
        <v>594</v>
      </c>
      <c r="D89" s="174" t="s">
        <v>2284</v>
      </c>
      <c r="E89" s="174" t="s">
        <v>2857</v>
      </c>
      <c r="F89" s="91">
        <v>46001</v>
      </c>
      <c r="G89" s="91">
        <v>47097</v>
      </c>
      <c r="H89" s="406" t="s">
        <v>3340</v>
      </c>
      <c r="I89" s="174" t="s">
        <v>2333</v>
      </c>
      <c r="J89" s="296" t="s">
        <v>1951</v>
      </c>
      <c r="K89" s="405">
        <v>439.27</v>
      </c>
      <c r="L89" s="707" t="s">
        <v>2285</v>
      </c>
      <c r="M89" s="793" t="s">
        <v>3341</v>
      </c>
      <c r="N89" s="794">
        <v>45166</v>
      </c>
      <c r="O89" s="794">
        <v>46262</v>
      </c>
      <c r="P89" s="793" t="s">
        <v>3342</v>
      </c>
      <c r="Q89" s="23" t="s">
        <v>3310</v>
      </c>
      <c r="R89" s="23" t="s">
        <v>1951</v>
      </c>
      <c r="S89" s="795">
        <v>759.98</v>
      </c>
      <c r="T89" s="389"/>
      <c r="U89" s="184" t="s">
        <v>2071</v>
      </c>
      <c r="V89" s="184" t="s">
        <v>2071</v>
      </c>
      <c r="W89" s="184" t="s">
        <v>2071</v>
      </c>
      <c r="X89" s="437"/>
      <c r="Y89" s="437"/>
      <c r="Z89" s="349" t="s">
        <v>2071</v>
      </c>
      <c r="AA89" s="437"/>
      <c r="AB89" s="8" t="s">
        <v>3343</v>
      </c>
      <c r="AC89" s="8" t="s">
        <v>3344</v>
      </c>
      <c r="AD89" s="83" t="s">
        <v>3345</v>
      </c>
      <c r="AE89" s="67">
        <f t="shared" si="1"/>
        <v>1199.25</v>
      </c>
      <c r="AF89" s="68" t="s">
        <v>3346</v>
      </c>
      <c r="AG89" s="78">
        <v>46001</v>
      </c>
      <c r="AH89" s="68"/>
    </row>
    <row r="90" spans="1:34">
      <c r="A90" s="776">
        <v>639</v>
      </c>
      <c r="B90" s="367" t="s">
        <v>58</v>
      </c>
      <c r="C90" s="385" t="s">
        <v>595</v>
      </c>
      <c r="D90" s="367" t="s">
        <v>2284</v>
      </c>
      <c r="E90" s="379" t="s">
        <v>2857</v>
      </c>
      <c r="F90" s="397">
        <v>45966</v>
      </c>
      <c r="G90" s="397">
        <v>47062</v>
      </c>
      <c r="H90" s="368" t="s">
        <v>3347</v>
      </c>
      <c r="I90" s="396" t="s">
        <v>2333</v>
      </c>
      <c r="J90" s="367" t="s">
        <v>1951</v>
      </c>
      <c r="K90" s="405">
        <v>439.27</v>
      </c>
      <c r="L90" s="367" t="s">
        <v>1954</v>
      </c>
      <c r="M90" s="296">
        <v>3249939</v>
      </c>
      <c r="N90" s="347">
        <v>45994</v>
      </c>
      <c r="O90" s="91">
        <v>46724</v>
      </c>
      <c r="P90" t="s">
        <v>3348</v>
      </c>
      <c r="Q90" s="174" t="s">
        <v>2876</v>
      </c>
      <c r="R90" s="297" t="s">
        <v>2860</v>
      </c>
      <c r="S90" s="571">
        <v>94.99</v>
      </c>
      <c r="T90" s="349"/>
      <c r="U90" s="184" t="s">
        <v>2071</v>
      </c>
      <c r="V90" s="184" t="s">
        <v>2071</v>
      </c>
      <c r="W90" s="184" t="s">
        <v>2071</v>
      </c>
      <c r="X90" s="349"/>
      <c r="Y90" s="349"/>
      <c r="Z90" s="375" t="s">
        <v>2071</v>
      </c>
      <c r="AA90" s="349"/>
      <c r="AB90" s="68" t="s">
        <v>3349</v>
      </c>
      <c r="AC90" s="8" t="s">
        <v>3350</v>
      </c>
      <c r="AD90" s="83" t="s">
        <v>3096</v>
      </c>
      <c r="AE90" s="67">
        <f t="shared" si="1"/>
        <v>534.26</v>
      </c>
      <c r="AF90" s="68" t="s">
        <v>3351</v>
      </c>
      <c r="AG90" s="78">
        <v>45994</v>
      </c>
      <c r="AH90" s="68"/>
    </row>
    <row r="91" spans="1:34">
      <c r="A91" s="322">
        <v>640</v>
      </c>
      <c r="B91" s="3" t="s">
        <v>58</v>
      </c>
      <c r="C91" s="8" t="s">
        <v>95</v>
      </c>
      <c r="D91" s="8" t="s">
        <v>2286</v>
      </c>
      <c r="E91" s="3" t="s">
        <v>2865</v>
      </c>
      <c r="F91" s="78">
        <v>45915</v>
      </c>
      <c r="G91" s="78">
        <v>47011</v>
      </c>
      <c r="H91" s="81">
        <v>11008904</v>
      </c>
      <c r="I91" s="3" t="s">
        <v>2785</v>
      </c>
      <c r="J91" s="3" t="s">
        <v>2866</v>
      </c>
      <c r="K91" s="331">
        <v>385</v>
      </c>
      <c r="L91" s="369" t="s">
        <v>2287</v>
      </c>
      <c r="M91" s="196">
        <v>2194603</v>
      </c>
      <c r="N91" s="295">
        <v>45572</v>
      </c>
      <c r="O91" s="295">
        <v>46302</v>
      </c>
      <c r="P91" s="201">
        <v>2194603</v>
      </c>
      <c r="Q91" s="3" t="s">
        <v>2867</v>
      </c>
      <c r="R91" s="3" t="s">
        <v>2860</v>
      </c>
      <c r="S91" s="331">
        <v>298.89999999999998</v>
      </c>
      <c r="T91" s="373"/>
      <c r="U91" s="184" t="s">
        <v>2071</v>
      </c>
      <c r="V91" s="184" t="s">
        <v>2071</v>
      </c>
      <c r="W91" s="184" t="s">
        <v>2071</v>
      </c>
      <c r="X91" s="349"/>
      <c r="Y91" s="349"/>
      <c r="Z91" s="375" t="s">
        <v>2071</v>
      </c>
      <c r="AA91" s="349"/>
      <c r="AB91" s="68" t="s">
        <v>3352</v>
      </c>
      <c r="AC91" s="8" t="s">
        <v>3353</v>
      </c>
      <c r="AD91" s="83" t="s">
        <v>3354</v>
      </c>
      <c r="AE91" s="67">
        <f t="shared" si="1"/>
        <v>683.9</v>
      </c>
      <c r="AF91" s="68" t="s">
        <v>3355</v>
      </c>
      <c r="AG91" s="78">
        <v>45915</v>
      </c>
      <c r="AH91" s="96" t="s">
        <v>3356</v>
      </c>
    </row>
    <row r="92" spans="1:34">
      <c r="A92" s="797">
        <v>641</v>
      </c>
      <c r="B92" s="367" t="s">
        <v>58</v>
      </c>
      <c r="C92" s="628" t="s">
        <v>604</v>
      </c>
      <c r="D92" s="174" t="s">
        <v>2284</v>
      </c>
      <c r="E92" s="390" t="s">
        <v>2857</v>
      </c>
      <c r="F92" s="378">
        <v>45961</v>
      </c>
      <c r="G92" s="237">
        <v>47057</v>
      </c>
      <c r="H92" s="368" t="s">
        <v>3357</v>
      </c>
      <c r="I92" s="367" t="s">
        <v>2333</v>
      </c>
      <c r="J92" s="385" t="s">
        <v>1951</v>
      </c>
      <c r="K92" s="405">
        <v>439.27</v>
      </c>
      <c r="L92" s="396" t="s">
        <v>2287</v>
      </c>
      <c r="M92" s="451">
        <v>1792583</v>
      </c>
      <c r="N92" s="401">
        <v>45180</v>
      </c>
      <c r="O92" s="401">
        <v>46276</v>
      </c>
      <c r="P92" s="796">
        <v>1792583</v>
      </c>
      <c r="Q92" s="400" t="s">
        <v>2867</v>
      </c>
      <c r="R92" s="400" t="s">
        <v>2860</v>
      </c>
      <c r="S92" s="443">
        <v>299.89999999999998</v>
      </c>
      <c r="T92" s="1084"/>
      <c r="U92" s="8"/>
      <c r="V92" s="377"/>
      <c r="X92" s="373"/>
      <c r="Y92" s="449"/>
      <c r="Z92" s="589" t="s">
        <v>2071</v>
      </c>
      <c r="AA92" s="449"/>
      <c r="AB92" s="69" t="s">
        <v>3358</v>
      </c>
      <c r="AC92" s="17" t="s">
        <v>3359</v>
      </c>
      <c r="AD92" s="181" t="s">
        <v>3360</v>
      </c>
      <c r="AE92" s="85">
        <f t="shared" si="1"/>
        <v>739.17</v>
      </c>
      <c r="AF92" s="69" t="s">
        <v>3361</v>
      </c>
      <c r="AG92" s="84">
        <v>45961</v>
      </c>
      <c r="AH92" s="433"/>
    </row>
    <row r="93" spans="1:34">
      <c r="A93" s="774">
        <v>642</v>
      </c>
      <c r="B93" s="154" t="s">
        <v>58</v>
      </c>
      <c r="C93" s="17" t="s">
        <v>616</v>
      </c>
      <c r="D93" s="367" t="s">
        <v>2284</v>
      </c>
      <c r="E93" s="154" t="s">
        <v>2857</v>
      </c>
      <c r="F93" s="387">
        <v>46007</v>
      </c>
      <c r="G93" s="84">
        <v>47103</v>
      </c>
      <c r="H93" s="388" t="s">
        <v>3362</v>
      </c>
      <c r="I93" s="154" t="s">
        <v>2333</v>
      </c>
      <c r="J93" s="8" t="s">
        <v>1951</v>
      </c>
      <c r="K93" s="405">
        <v>439.27</v>
      </c>
      <c r="L93" s="217" t="s">
        <v>1954</v>
      </c>
      <c r="M93" s="3">
        <v>3249939</v>
      </c>
      <c r="N93" s="295">
        <v>45957</v>
      </c>
      <c r="O93" s="295">
        <v>46687</v>
      </c>
      <c r="P93" s="7" t="s">
        <v>3363</v>
      </c>
      <c r="Q93" s="3" t="s">
        <v>2876</v>
      </c>
      <c r="R93" s="3" t="s">
        <v>2860</v>
      </c>
      <c r="S93" s="331">
        <v>94.9</v>
      </c>
      <c r="T93" s="349"/>
      <c r="U93" s="184" t="s">
        <v>2071</v>
      </c>
      <c r="V93" s="464" t="s">
        <v>2071</v>
      </c>
      <c r="W93" s="184" t="s">
        <v>2071</v>
      </c>
      <c r="X93" s="184"/>
      <c r="Y93" s="184"/>
      <c r="Z93" s="349" t="s">
        <v>2071</v>
      </c>
      <c r="AA93" s="184"/>
      <c r="AB93" s="8" t="s">
        <v>3364</v>
      </c>
      <c r="AC93" s="8" t="s">
        <v>3365</v>
      </c>
      <c r="AD93" s="8" t="s">
        <v>3366</v>
      </c>
      <c r="AE93" s="67">
        <f t="shared" si="1"/>
        <v>534.16999999999996</v>
      </c>
      <c r="AF93" s="8" t="s">
        <v>3367</v>
      </c>
      <c r="AG93" s="78">
        <v>46007</v>
      </c>
      <c r="AH93" s="8"/>
    </row>
    <row r="94" spans="1:34">
      <c r="A94" s="780">
        <v>643</v>
      </c>
      <c r="B94" s="3" t="s">
        <v>64</v>
      </c>
      <c r="C94" s="8" t="s">
        <v>173</v>
      </c>
      <c r="D94" s="3" t="s">
        <v>1956</v>
      </c>
      <c r="E94" s="3" t="s">
        <v>2917</v>
      </c>
      <c r="F94" s="295">
        <v>45952</v>
      </c>
      <c r="G94" s="295">
        <v>47048</v>
      </c>
      <c r="H94" s="298">
        <v>10079714</v>
      </c>
      <c r="I94" s="3" t="s">
        <v>2333</v>
      </c>
      <c r="J94" s="177" t="s">
        <v>1951</v>
      </c>
      <c r="K94" s="393">
        <v>360</v>
      </c>
      <c r="L94" s="96" t="s">
        <v>2284</v>
      </c>
      <c r="M94" s="174" t="s">
        <v>3042</v>
      </c>
      <c r="N94" s="1001">
        <v>46195</v>
      </c>
      <c r="O94" s="91">
        <v>47291</v>
      </c>
      <c r="P94" s="6" t="s">
        <v>3368</v>
      </c>
      <c r="Q94" s="10" t="s">
        <v>2333</v>
      </c>
      <c r="R94" s="10" t="s">
        <v>1951</v>
      </c>
      <c r="S94" s="571">
        <v>424.82</v>
      </c>
      <c r="T94" s="823" t="s">
        <v>3369</v>
      </c>
      <c r="U94" s="382" t="s">
        <v>2934</v>
      </c>
      <c r="V94" s="408" t="s">
        <v>2010</v>
      </c>
      <c r="W94" s="11" t="s">
        <v>3370</v>
      </c>
      <c r="X94" s="374" t="s">
        <v>3028</v>
      </c>
      <c r="Y94" s="382"/>
      <c r="Z94" s="582" t="s">
        <v>2071</v>
      </c>
      <c r="AA94" s="382"/>
      <c r="AB94" s="10" t="s">
        <v>3371</v>
      </c>
      <c r="AC94" s="10" t="s">
        <v>3372</v>
      </c>
      <c r="AD94" s="16"/>
      <c r="AE94" s="92">
        <f t="shared" si="1"/>
        <v>784.81999999999994</v>
      </c>
      <c r="AF94" s="96" t="s">
        <v>3373</v>
      </c>
      <c r="AG94" s="91">
        <v>46195</v>
      </c>
    </row>
    <row r="95" spans="1:34">
      <c r="A95" s="797">
        <v>645</v>
      </c>
      <c r="B95" s="385" t="s">
        <v>58</v>
      </c>
      <c r="C95" s="367" t="s">
        <v>623</v>
      </c>
      <c r="D95" s="367" t="s">
        <v>2284</v>
      </c>
      <c r="E95" s="94" t="s">
        <v>2857</v>
      </c>
      <c r="F95" s="378">
        <v>45944</v>
      </c>
      <c r="G95" s="237">
        <v>47040</v>
      </c>
      <c r="H95" s="94" t="s">
        <v>3374</v>
      </c>
      <c r="I95" s="367" t="s">
        <v>2333</v>
      </c>
      <c r="J95" s="154" t="s">
        <v>1951</v>
      </c>
      <c r="K95" s="405">
        <v>439.27</v>
      </c>
      <c r="L95" s="402" t="s">
        <v>2287</v>
      </c>
      <c r="M95" s="556">
        <v>2194596</v>
      </c>
      <c r="N95" s="397">
        <v>45572</v>
      </c>
      <c r="O95" s="397">
        <v>46302</v>
      </c>
      <c r="P95" s="556">
        <v>2194596</v>
      </c>
      <c r="Q95" s="396" t="s">
        <v>2867</v>
      </c>
      <c r="R95" s="396" t="s">
        <v>2860</v>
      </c>
      <c r="S95" s="441">
        <v>298.89999999999998</v>
      </c>
      <c r="T95" s="389"/>
      <c r="U95" s="184" t="s">
        <v>2071</v>
      </c>
      <c r="V95" s="184" t="s">
        <v>2071</v>
      </c>
      <c r="W95" s="184" t="s">
        <v>2071</v>
      </c>
      <c r="X95" s="437"/>
      <c r="Y95" s="437"/>
      <c r="Z95" s="375" t="s">
        <v>2071</v>
      </c>
      <c r="AA95" s="349"/>
      <c r="AB95" s="8" t="s">
        <v>3375</v>
      </c>
      <c r="AC95" s="8" t="s">
        <v>3376</v>
      </c>
      <c r="AD95" s="83" t="s">
        <v>3377</v>
      </c>
      <c r="AE95" s="67">
        <f t="shared" si="1"/>
        <v>738.17</v>
      </c>
      <c r="AF95" s="68" t="s">
        <v>3378</v>
      </c>
      <c r="AG95" s="78">
        <v>45944</v>
      </c>
      <c r="AH95" s="69"/>
    </row>
    <row r="96" spans="1:34">
      <c r="A96" s="780">
        <v>646</v>
      </c>
      <c r="B96" s="3" t="s">
        <v>459</v>
      </c>
      <c r="C96" s="8" t="s">
        <v>458</v>
      </c>
      <c r="D96" s="8" t="s">
        <v>2284</v>
      </c>
      <c r="E96" s="8" t="s">
        <v>2857</v>
      </c>
      <c r="F96" s="78">
        <v>46069</v>
      </c>
      <c r="G96" s="78">
        <v>47165</v>
      </c>
      <c r="H96" s="631" t="s">
        <v>3379</v>
      </c>
      <c r="I96" s="8" t="s">
        <v>1964</v>
      </c>
      <c r="J96" s="8" t="s">
        <v>1951</v>
      </c>
      <c r="K96" s="92">
        <v>453.09</v>
      </c>
      <c r="L96" s="808" t="s">
        <v>2300</v>
      </c>
      <c r="M96" s="8" t="s">
        <v>2940</v>
      </c>
      <c r="N96" s="630">
        <v>46113</v>
      </c>
      <c r="O96" s="78">
        <v>46478</v>
      </c>
      <c r="P96" s="8" t="s">
        <v>3380</v>
      </c>
      <c r="Q96" s="8" t="s">
        <v>3143</v>
      </c>
      <c r="R96" s="8" t="s">
        <v>2860</v>
      </c>
      <c r="S96" s="439">
        <v>319.89999999999998</v>
      </c>
      <c r="T96" s="825" t="s">
        <v>3381</v>
      </c>
      <c r="U96" s="8" t="s">
        <v>2878</v>
      </c>
      <c r="V96" s="184" t="s">
        <v>2370</v>
      </c>
      <c r="W96" t="s">
        <v>3382</v>
      </c>
      <c r="X96" s="349" t="s">
        <v>2880</v>
      </c>
      <c r="Y96" s="349"/>
      <c r="Z96" s="438" t="s">
        <v>2071</v>
      </c>
      <c r="AA96" s="438"/>
      <c r="AB96" s="8" t="s">
        <v>3383</v>
      </c>
      <c r="AC96" s="8" t="s">
        <v>3384</v>
      </c>
      <c r="AD96" s="83" t="s">
        <v>2071</v>
      </c>
      <c r="AE96" s="67">
        <f t="shared" si="1"/>
        <v>772.99</v>
      </c>
      <c r="AF96" s="68" t="s">
        <v>3385</v>
      </c>
      <c r="AG96" s="78">
        <v>46113</v>
      </c>
      <c r="AH96" s="68"/>
    </row>
    <row r="97" spans="1:34">
      <c r="A97" s="783">
        <v>647</v>
      </c>
      <c r="B97" s="297" t="s">
        <v>58</v>
      </c>
      <c r="C97" s="10" t="s">
        <v>636</v>
      </c>
      <c r="D97" s="174" t="s">
        <v>2284</v>
      </c>
      <c r="E97" s="174" t="s">
        <v>2857</v>
      </c>
      <c r="F97" s="91">
        <v>45971</v>
      </c>
      <c r="G97" s="91">
        <v>47067</v>
      </c>
      <c r="H97" s="406" t="s">
        <v>3386</v>
      </c>
      <c r="I97" s="10" t="s">
        <v>2333</v>
      </c>
      <c r="J97" s="10" t="s">
        <v>1951</v>
      </c>
      <c r="K97" s="405">
        <v>439.27</v>
      </c>
      <c r="L97" s="62" t="s">
        <v>1954</v>
      </c>
      <c r="M97" s="48">
        <v>2341178</v>
      </c>
      <c r="N97" s="58">
        <v>45267</v>
      </c>
      <c r="O97" s="58">
        <v>46729</v>
      </c>
      <c r="P97" s="49" t="s">
        <v>3387</v>
      </c>
      <c r="Q97" s="48" t="s">
        <v>3388</v>
      </c>
      <c r="R97" s="48" t="s">
        <v>2860</v>
      </c>
      <c r="S97" s="426">
        <v>326.33</v>
      </c>
      <c r="T97" s="374"/>
      <c r="U97" s="184" t="s">
        <v>2071</v>
      </c>
      <c r="V97" s="184" t="s">
        <v>2071</v>
      </c>
      <c r="W97" s="184" t="s">
        <v>2071</v>
      </c>
      <c r="X97" s="382"/>
      <c r="Y97" s="408"/>
      <c r="Z97" s="349" t="s">
        <v>2071</v>
      </c>
      <c r="AA97" s="373"/>
      <c r="AB97" s="68" t="s">
        <v>3389</v>
      </c>
      <c r="AC97" s="8" t="s">
        <v>3390</v>
      </c>
      <c r="AD97" s="83" t="s">
        <v>3391</v>
      </c>
      <c r="AE97" s="67">
        <f t="shared" si="1"/>
        <v>765.59999999999991</v>
      </c>
      <c r="AF97" s="68" t="s">
        <v>3392</v>
      </c>
      <c r="AG97" s="78">
        <v>45971</v>
      </c>
      <c r="AH97" s="68"/>
    </row>
    <row r="98" spans="1:34">
      <c r="A98" s="783">
        <v>648</v>
      </c>
      <c r="B98" s="1081" t="s">
        <v>58</v>
      </c>
      <c r="C98" s="793" t="s">
        <v>643</v>
      </c>
      <c r="D98" s="854" t="s">
        <v>1950</v>
      </c>
      <c r="E98" s="854" t="s">
        <v>3393</v>
      </c>
      <c r="F98" s="852">
        <v>44765</v>
      </c>
      <c r="G98" s="679" t="s">
        <v>1968</v>
      </c>
      <c r="H98" s="853" t="s">
        <v>3394</v>
      </c>
      <c r="I98" s="854" t="s">
        <v>3310</v>
      </c>
      <c r="J98" s="854" t="s">
        <v>1951</v>
      </c>
      <c r="K98" s="1082">
        <v>439.27</v>
      </c>
      <c r="L98" s="423" t="s">
        <v>2287</v>
      </c>
      <c r="M98" s="721">
        <v>2194213</v>
      </c>
      <c r="N98" s="665">
        <v>46077</v>
      </c>
      <c r="O98" s="665">
        <v>46807</v>
      </c>
      <c r="P98" s="722">
        <v>2194213</v>
      </c>
      <c r="Q98" s="462" t="s">
        <v>3233</v>
      </c>
      <c r="R98" s="462" t="s">
        <v>2860</v>
      </c>
      <c r="S98" s="511">
        <v>280</v>
      </c>
      <c r="T98" s="373"/>
      <c r="U98" s="184" t="s">
        <v>2071</v>
      </c>
      <c r="V98" s="184" t="s">
        <v>2071</v>
      </c>
      <c r="W98" s="184" t="s">
        <v>2071</v>
      </c>
      <c r="X98" s="349"/>
      <c r="Y98" s="349"/>
      <c r="Z98" s="382" t="s">
        <v>2071</v>
      </c>
      <c r="AA98" s="349"/>
      <c r="AB98" s="68" t="s">
        <v>3395</v>
      </c>
      <c r="AC98" s="8" t="s">
        <v>3396</v>
      </c>
      <c r="AD98" s="83" t="s">
        <v>3397</v>
      </c>
      <c r="AE98" s="67">
        <f t="shared" si="1"/>
        <v>719.27</v>
      </c>
      <c r="AF98" s="68" t="s">
        <v>3398</v>
      </c>
      <c r="AG98" s="78">
        <v>46077</v>
      </c>
      <c r="AH98" s="68"/>
    </row>
    <row r="99" spans="1:34">
      <c r="A99" s="776">
        <v>649</v>
      </c>
      <c r="B99" s="385" t="s">
        <v>263</v>
      </c>
      <c r="C99" s="94" t="s">
        <v>287</v>
      </c>
      <c r="D99" s="379" t="s">
        <v>2284</v>
      </c>
      <c r="E99" s="458" t="s">
        <v>2857</v>
      </c>
      <c r="F99" s="295">
        <v>45954</v>
      </c>
      <c r="G99" s="295">
        <v>47050</v>
      </c>
      <c r="H99" s="3" t="s">
        <v>3399</v>
      </c>
      <c r="I99" s="3" t="s">
        <v>2333</v>
      </c>
      <c r="J99" s="3" t="s">
        <v>1951</v>
      </c>
      <c r="K99" s="514">
        <v>447.46</v>
      </c>
      <c r="L99" s="3" t="s">
        <v>2285</v>
      </c>
      <c r="M99" s="576" t="s">
        <v>3400</v>
      </c>
      <c r="N99" s="592">
        <v>45738</v>
      </c>
      <c r="O99" s="642">
        <v>46834</v>
      </c>
      <c r="P99" s="576" t="s">
        <v>3401</v>
      </c>
      <c r="Q99" s="8" t="s">
        <v>3402</v>
      </c>
      <c r="R99" s="8" t="s">
        <v>2860</v>
      </c>
      <c r="S99" s="593">
        <v>446.42</v>
      </c>
      <c r="T99" s="825" t="s">
        <v>3403</v>
      </c>
      <c r="U99" s="8" t="s">
        <v>2878</v>
      </c>
      <c r="V99" s="184" t="s">
        <v>2024</v>
      </c>
      <c r="W99" s="184" t="s">
        <v>3404</v>
      </c>
      <c r="X99" s="349" t="s">
        <v>2880</v>
      </c>
      <c r="Y99" s="438"/>
      <c r="Z99" s="349" t="s">
        <v>3405</v>
      </c>
      <c r="AA99" s="349">
        <v>200</v>
      </c>
      <c r="AB99" s="68" t="s">
        <v>3406</v>
      </c>
      <c r="AC99" s="8" t="s">
        <v>3407</v>
      </c>
      <c r="AD99" s="83" t="s">
        <v>3408</v>
      </c>
      <c r="AE99" s="67">
        <f t="shared" si="1"/>
        <v>1093.8800000000001</v>
      </c>
      <c r="AF99" s="68" t="s">
        <v>3409</v>
      </c>
      <c r="AG99" s="78">
        <v>45957</v>
      </c>
      <c r="AH99" s="6" t="s">
        <v>3410</v>
      </c>
    </row>
    <row r="100" spans="1:34">
      <c r="A100" s="774">
        <v>650</v>
      </c>
      <c r="B100" s="154" t="s">
        <v>328</v>
      </c>
      <c r="C100" s="17" t="s">
        <v>327</v>
      </c>
      <c r="D100" s="154" t="s">
        <v>2284</v>
      </c>
      <c r="E100" s="17" t="s">
        <v>2857</v>
      </c>
      <c r="F100" s="645">
        <v>45964</v>
      </c>
      <c r="G100" s="237">
        <v>47060</v>
      </c>
      <c r="H100" s="380" t="s">
        <v>3411</v>
      </c>
      <c r="I100" s="94" t="s">
        <v>2333</v>
      </c>
      <c r="J100" s="94" t="s">
        <v>1951</v>
      </c>
      <c r="K100" s="667">
        <v>444.7</v>
      </c>
      <c r="L100" s="292" t="s">
        <v>2297</v>
      </c>
      <c r="M100" s="3">
        <v>23348</v>
      </c>
      <c r="N100" s="641">
        <v>46122</v>
      </c>
      <c r="O100" s="237">
        <v>46853</v>
      </c>
      <c r="P100" t="s">
        <v>3412</v>
      </c>
      <c r="Q100" s="94" t="s">
        <v>2333</v>
      </c>
      <c r="R100" s="376" t="s">
        <v>1951</v>
      </c>
      <c r="S100" s="439">
        <v>350.62</v>
      </c>
      <c r="T100" s="826" t="s">
        <v>3413</v>
      </c>
      <c r="U100" s="349" t="s">
        <v>2934</v>
      </c>
      <c r="V100" s="464" t="s">
        <v>2010</v>
      </c>
      <c r="W100" s="7" t="s">
        <v>3414</v>
      </c>
      <c r="X100" s="482" t="s">
        <v>3415</v>
      </c>
      <c r="Y100" s="495">
        <v>104.05</v>
      </c>
      <c r="Z100" s="496" t="s">
        <v>2071</v>
      </c>
      <c r="AA100" s="497"/>
      <c r="AB100" s="17" t="s">
        <v>3416</v>
      </c>
      <c r="AC100" s="17" t="s">
        <v>3417</v>
      </c>
      <c r="AD100" s="181" t="s">
        <v>2071</v>
      </c>
      <c r="AE100" s="67">
        <f t="shared" si="1"/>
        <v>899.36999999999989</v>
      </c>
      <c r="AF100" s="69" t="s">
        <v>3418</v>
      </c>
      <c r="AG100" s="78">
        <v>46122</v>
      </c>
      <c r="AH100" s="69" t="s">
        <v>3419</v>
      </c>
    </row>
    <row r="101" spans="1:34" s="7" customFormat="1">
      <c r="A101" s="170">
        <v>651</v>
      </c>
      <c r="B101" s="3" t="s">
        <v>129</v>
      </c>
      <c r="C101" s="8" t="s">
        <v>128</v>
      </c>
      <c r="D101" s="217" t="s">
        <v>2284</v>
      </c>
      <c r="E101" s="3" t="s">
        <v>2857</v>
      </c>
      <c r="F101" s="575">
        <v>45995</v>
      </c>
      <c r="G101" s="575">
        <v>47091</v>
      </c>
      <c r="H101" s="81" t="s">
        <v>3420</v>
      </c>
      <c r="I101" s="8" t="s">
        <v>2333</v>
      </c>
      <c r="J101" s="8" t="s">
        <v>1951</v>
      </c>
      <c r="K101" s="331">
        <v>450.25</v>
      </c>
      <c r="L101" s="706" t="s">
        <v>2292</v>
      </c>
      <c r="M101" s="839" t="s">
        <v>3421</v>
      </c>
      <c r="N101" s="23"/>
      <c r="O101" s="682" t="s">
        <v>1968</v>
      </c>
      <c r="P101" s="698" t="s">
        <v>3422</v>
      </c>
      <c r="Q101" s="23" t="s">
        <v>1987</v>
      </c>
      <c r="R101" s="23" t="s">
        <v>1951</v>
      </c>
      <c r="S101" s="800">
        <v>607.14</v>
      </c>
      <c r="T101" s="373"/>
      <c r="U101" s="184" t="s">
        <v>2071</v>
      </c>
      <c r="V101" s="184" t="s">
        <v>2071</v>
      </c>
      <c r="W101" s="184" t="s">
        <v>2071</v>
      </c>
      <c r="X101" s="409"/>
      <c r="Y101" s="349"/>
      <c r="Z101" s="349" t="s">
        <v>2071</v>
      </c>
      <c r="AA101" s="349"/>
      <c r="AB101" s="68" t="s">
        <v>3423</v>
      </c>
      <c r="AC101" s="8" t="s">
        <v>3424</v>
      </c>
      <c r="AD101" s="83" t="s">
        <v>3425</v>
      </c>
      <c r="AE101" s="67">
        <f t="shared" si="1"/>
        <v>1057.3899999999999</v>
      </c>
      <c r="AF101" s="68" t="s">
        <v>3426</v>
      </c>
      <c r="AG101" s="78">
        <v>45995</v>
      </c>
      <c r="AH101" s="8"/>
    </row>
    <row r="102" spans="1:34">
      <c r="A102" s="776">
        <v>652</v>
      </c>
      <c r="B102" s="367" t="s">
        <v>251</v>
      </c>
      <c r="C102" s="367" t="s">
        <v>666</v>
      </c>
      <c r="D102" s="367" t="s">
        <v>2284</v>
      </c>
      <c r="E102" s="367" t="s">
        <v>2857</v>
      </c>
      <c r="F102" s="237">
        <v>45982</v>
      </c>
      <c r="G102" s="557">
        <v>47078</v>
      </c>
      <c r="H102" s="380" t="s">
        <v>3427</v>
      </c>
      <c r="I102" s="379" t="s">
        <v>2333</v>
      </c>
      <c r="J102" s="385" t="s">
        <v>1951</v>
      </c>
      <c r="K102" s="405">
        <v>439.27</v>
      </c>
      <c r="L102" s="94" t="s">
        <v>1954</v>
      </c>
      <c r="M102" s="367">
        <v>3249939</v>
      </c>
      <c r="N102" s="237">
        <v>45954</v>
      </c>
      <c r="O102" s="237">
        <v>46684</v>
      </c>
      <c r="P102" s="63" t="s">
        <v>3428</v>
      </c>
      <c r="Q102" s="94" t="s">
        <v>2876</v>
      </c>
      <c r="R102" s="94" t="s">
        <v>2860</v>
      </c>
      <c r="S102" s="559">
        <v>94.9</v>
      </c>
      <c r="T102" s="389"/>
      <c r="U102" s="449" t="s">
        <v>2071</v>
      </c>
      <c r="V102" s="449" t="s">
        <v>2071</v>
      </c>
      <c r="W102" s="449" t="s">
        <v>2071</v>
      </c>
      <c r="X102" s="438"/>
      <c r="Y102" s="382"/>
      <c r="Z102" s="382" t="s">
        <v>2071</v>
      </c>
      <c r="AA102" s="382"/>
      <c r="AB102" s="68" t="s">
        <v>3429</v>
      </c>
      <c r="AC102" s="8" t="s">
        <v>3430</v>
      </c>
      <c r="AD102" s="83" t="s">
        <v>2071</v>
      </c>
      <c r="AE102" s="67">
        <f t="shared" si="1"/>
        <v>534.16999999999996</v>
      </c>
      <c r="AF102" s="68" t="s">
        <v>3431</v>
      </c>
      <c r="AG102" s="78">
        <v>45982</v>
      </c>
      <c r="AH102" s="69" t="s">
        <v>3432</v>
      </c>
    </row>
    <row r="103" spans="1:34">
      <c r="A103" s="780">
        <v>653</v>
      </c>
      <c r="B103" s="3" t="s">
        <v>239</v>
      </c>
      <c r="C103" s="3" t="s">
        <v>238</v>
      </c>
      <c r="D103" s="3" t="s">
        <v>2284</v>
      </c>
      <c r="E103" s="3" t="s">
        <v>2857</v>
      </c>
      <c r="F103" s="295">
        <v>46000</v>
      </c>
      <c r="G103" s="295">
        <v>47096</v>
      </c>
      <c r="H103" s="298" t="s">
        <v>3433</v>
      </c>
      <c r="I103" s="3" t="s">
        <v>2333</v>
      </c>
      <c r="J103" s="3" t="s">
        <v>1951</v>
      </c>
      <c r="K103" s="509">
        <v>450.25</v>
      </c>
      <c r="L103" s="83" t="s">
        <v>2297</v>
      </c>
      <c r="M103" s="218">
        <v>23348</v>
      </c>
      <c r="N103" s="78">
        <v>46064</v>
      </c>
      <c r="O103" s="78">
        <v>46794</v>
      </c>
      <c r="P103" s="7" t="s">
        <v>3434</v>
      </c>
      <c r="Q103" s="8" t="s">
        <v>3143</v>
      </c>
      <c r="R103" s="8" t="s">
        <v>2860</v>
      </c>
      <c r="S103" s="395">
        <v>213.23</v>
      </c>
      <c r="T103" s="7"/>
      <c r="U103" s="7"/>
      <c r="V103" s="7"/>
      <c r="W103" s="7"/>
      <c r="X103" s="7"/>
      <c r="Y103" s="381"/>
      <c r="Z103" s="184" t="s">
        <v>2071</v>
      </c>
      <c r="AA103" s="184"/>
      <c r="AB103" s="68" t="s">
        <v>3435</v>
      </c>
      <c r="AC103" s="8" t="s">
        <v>3436</v>
      </c>
      <c r="AD103" s="83" t="s">
        <v>2071</v>
      </c>
      <c r="AE103" s="67">
        <f t="shared" si="1"/>
        <v>663.48</v>
      </c>
      <c r="AF103" s="68" t="s">
        <v>3437</v>
      </c>
      <c r="AG103" s="78">
        <v>46064</v>
      </c>
      <c r="AH103" s="68"/>
    </row>
    <row r="104" spans="1:34">
      <c r="A104" s="774">
        <v>656</v>
      </c>
      <c r="B104" s="154" t="s">
        <v>58</v>
      </c>
      <c r="C104" s="400" t="s">
        <v>95</v>
      </c>
      <c r="D104" s="154" t="s">
        <v>2284</v>
      </c>
      <c r="E104" s="154" t="s">
        <v>2857</v>
      </c>
      <c r="F104" s="84">
        <v>45982</v>
      </c>
      <c r="G104" s="394">
        <v>47078</v>
      </c>
      <c r="H104" s="17" t="s">
        <v>3438</v>
      </c>
      <c r="I104" s="407" t="s">
        <v>2333</v>
      </c>
      <c r="J104" s="458" t="s">
        <v>1951</v>
      </c>
      <c r="K104" s="405">
        <v>439.27</v>
      </c>
      <c r="L104" s="396" t="s">
        <v>2287</v>
      </c>
      <c r="M104" s="398">
        <v>2194722</v>
      </c>
      <c r="N104" s="397">
        <v>45590</v>
      </c>
      <c r="O104" s="397">
        <v>46685</v>
      </c>
      <c r="P104" s="398">
        <v>2194722</v>
      </c>
      <c r="Q104" s="396" t="s">
        <v>2859</v>
      </c>
      <c r="R104" s="396" t="s">
        <v>2860</v>
      </c>
      <c r="S104" s="570">
        <v>298.89999999999998</v>
      </c>
      <c r="T104" s="448"/>
      <c r="U104" s="184" t="s">
        <v>2071</v>
      </c>
      <c r="V104" s="184" t="s">
        <v>2071</v>
      </c>
      <c r="W104" s="449" t="s">
        <v>2071</v>
      </c>
      <c r="X104" s="438"/>
      <c r="Y104" s="438"/>
      <c r="Z104" s="438" t="s">
        <v>2071</v>
      </c>
      <c r="AA104" s="438"/>
      <c r="AB104" s="68" t="s">
        <v>3439</v>
      </c>
      <c r="AC104" s="8" t="s">
        <v>3440</v>
      </c>
      <c r="AD104" s="83" t="s">
        <v>2071</v>
      </c>
      <c r="AE104" s="67">
        <f t="shared" si="1"/>
        <v>738.17</v>
      </c>
      <c r="AF104" s="68" t="s">
        <v>3441</v>
      </c>
      <c r="AG104" s="78">
        <v>45982</v>
      </c>
      <c r="AH104" s="69"/>
    </row>
    <row r="105" spans="1:34">
      <c r="A105" s="775">
        <v>659</v>
      </c>
      <c r="B105" s="174" t="s">
        <v>328</v>
      </c>
      <c r="C105" s="174" t="s">
        <v>327</v>
      </c>
      <c r="D105" s="174" t="s">
        <v>2284</v>
      </c>
      <c r="E105" s="174" t="s">
        <v>2857</v>
      </c>
      <c r="F105" s="347">
        <v>45972</v>
      </c>
      <c r="G105" s="572">
        <v>47068</v>
      </c>
      <c r="H105" s="348" t="s">
        <v>3442</v>
      </c>
      <c r="I105" s="174" t="s">
        <v>2333</v>
      </c>
      <c r="J105" s="174" t="s">
        <v>1951</v>
      </c>
      <c r="K105" s="667">
        <v>444.7</v>
      </c>
      <c r="L105" s="10" t="s">
        <v>1954</v>
      </c>
      <c r="M105" s="8" t="s">
        <v>2874</v>
      </c>
      <c r="N105" s="91">
        <v>46006</v>
      </c>
      <c r="O105" s="97">
        <v>46736</v>
      </c>
      <c r="P105" s="12" t="s">
        <v>3443</v>
      </c>
      <c r="Q105" s="68" t="s">
        <v>2876</v>
      </c>
      <c r="R105" s="83" t="s">
        <v>2860</v>
      </c>
      <c r="S105" s="625">
        <v>94.9</v>
      </c>
      <c r="T105" s="828" t="s">
        <v>3444</v>
      </c>
      <c r="U105" s="8" t="s">
        <v>2878</v>
      </c>
      <c r="V105" s="184" t="s">
        <v>2010</v>
      </c>
      <c r="W105" s="461" t="s">
        <v>3445</v>
      </c>
      <c r="X105" s="582" t="s">
        <v>3446</v>
      </c>
      <c r="Y105" s="591">
        <v>104.05</v>
      </c>
      <c r="Z105" t="s">
        <v>3447</v>
      </c>
      <c r="AA105" s="382"/>
      <c r="AB105" s="8" t="s">
        <v>3448</v>
      </c>
      <c r="AC105" s="8" t="s">
        <v>3449</v>
      </c>
      <c r="AD105" s="8" t="s">
        <v>2071</v>
      </c>
      <c r="AE105" s="67">
        <f t="shared" si="1"/>
        <v>643.65</v>
      </c>
      <c r="AF105" s="8" t="s">
        <v>3450</v>
      </c>
      <c r="AG105" s="78">
        <v>45700</v>
      </c>
      <c r="AH105" s="10" t="s">
        <v>3451</v>
      </c>
    </row>
    <row r="106" spans="1:34">
      <c r="A106" s="776">
        <v>660</v>
      </c>
      <c r="B106" s="367" t="s">
        <v>215</v>
      </c>
      <c r="C106" s="367" t="s">
        <v>210</v>
      </c>
      <c r="D106" s="174" t="s">
        <v>2284</v>
      </c>
      <c r="E106" s="174" t="s">
        <v>2857</v>
      </c>
      <c r="F106" s="378">
        <v>45965</v>
      </c>
      <c r="G106" s="378">
        <v>47061</v>
      </c>
      <c r="H106" s="368" t="s">
        <v>3452</v>
      </c>
      <c r="I106" s="367" t="s">
        <v>2333</v>
      </c>
      <c r="J106" s="367" t="s">
        <v>1951</v>
      </c>
      <c r="K106" s="514">
        <v>436.61</v>
      </c>
      <c r="L106" s="8" t="s">
        <v>2297</v>
      </c>
      <c r="M106" s="218">
        <v>23348</v>
      </c>
      <c r="N106" s="237">
        <v>46052</v>
      </c>
      <c r="O106" s="391">
        <v>46782</v>
      </c>
      <c r="P106" s="7" t="s">
        <v>3453</v>
      </c>
      <c r="Q106" s="68" t="s">
        <v>3143</v>
      </c>
      <c r="R106" s="83" t="s">
        <v>2860</v>
      </c>
      <c r="S106" s="617">
        <v>231.26</v>
      </c>
      <c r="T106" s="822" t="s">
        <v>3454</v>
      </c>
      <c r="U106" s="382" t="s">
        <v>2934</v>
      </c>
      <c r="V106" s="464" t="s">
        <v>2010</v>
      </c>
      <c r="W106" s="11" t="s">
        <v>3455</v>
      </c>
      <c r="X106" s="467" t="s">
        <v>3446</v>
      </c>
      <c r="Y106" s="461" t="s">
        <v>3456</v>
      </c>
      <c r="Z106" s="498" t="s">
        <v>2071</v>
      </c>
      <c r="AA106" s="499"/>
      <c r="AB106" s="10" t="s">
        <v>3457</v>
      </c>
      <c r="AC106" s="10" t="s">
        <v>3458</v>
      </c>
      <c r="AD106" s="16" t="s">
        <v>2071</v>
      </c>
      <c r="AE106" s="92">
        <f t="shared" si="1"/>
        <v>771.92</v>
      </c>
      <c r="AF106" s="96" t="s">
        <v>3459</v>
      </c>
      <c r="AG106" s="91">
        <v>46052</v>
      </c>
      <c r="AH106" s="96"/>
    </row>
    <row r="107" spans="1:34">
      <c r="A107" s="780">
        <v>661</v>
      </c>
      <c r="B107" s="154" t="s">
        <v>354</v>
      </c>
      <c r="C107" s="17" t="s">
        <v>353</v>
      </c>
      <c r="D107" s="367" t="s">
        <v>2284</v>
      </c>
      <c r="E107" s="367" t="s">
        <v>2857</v>
      </c>
      <c r="F107" s="84">
        <v>46062</v>
      </c>
      <c r="G107" s="485">
        <v>47158</v>
      </c>
      <c r="H107" s="388" t="s">
        <v>3460</v>
      </c>
      <c r="I107" s="17" t="s">
        <v>2333</v>
      </c>
      <c r="J107" s="17" t="s">
        <v>1951</v>
      </c>
      <c r="K107" s="509">
        <v>450.25</v>
      </c>
      <c r="L107" s="69" t="s">
        <v>1954</v>
      </c>
      <c r="M107" s="8" t="s">
        <v>2874</v>
      </c>
      <c r="N107" s="78">
        <v>46059</v>
      </c>
      <c r="O107" s="89">
        <v>47155</v>
      </c>
      <c r="P107" s="760" t="s">
        <v>3461</v>
      </c>
      <c r="Q107" s="68" t="s">
        <v>2333</v>
      </c>
      <c r="R107" s="8" t="s">
        <v>1951</v>
      </c>
      <c r="S107" s="827">
        <v>380</v>
      </c>
      <c r="T107" s="389"/>
      <c r="U107" s="184" t="s">
        <v>2071</v>
      </c>
      <c r="V107" s="184" t="s">
        <v>2071</v>
      </c>
      <c r="W107" s="184" t="s">
        <v>2071</v>
      </c>
      <c r="X107" s="461"/>
      <c r="Y107" s="461"/>
      <c r="Z107" s="184" t="s">
        <v>2071</v>
      </c>
      <c r="AA107" s="184"/>
      <c r="AB107" s="68" t="s">
        <v>3462</v>
      </c>
      <c r="AC107" s="8" t="s">
        <v>3463</v>
      </c>
      <c r="AD107" s="83" t="s">
        <v>2071</v>
      </c>
      <c r="AE107" s="67">
        <f t="shared" si="1"/>
        <v>830.25</v>
      </c>
      <c r="AF107" s="68" t="s">
        <v>3464</v>
      </c>
      <c r="AG107" s="78">
        <v>46062</v>
      </c>
      <c r="AH107" s="69"/>
    </row>
    <row r="108" spans="1:34">
      <c r="A108" s="785">
        <v>662</v>
      </c>
      <c r="B108" s="3" t="s">
        <v>58</v>
      </c>
      <c r="C108" s="3" t="s">
        <v>95</v>
      </c>
      <c r="D108" s="3" t="s">
        <v>2286</v>
      </c>
      <c r="E108" s="3" t="s">
        <v>2865</v>
      </c>
      <c r="F108" s="295">
        <v>45896</v>
      </c>
      <c r="G108" s="295">
        <v>46992</v>
      </c>
      <c r="H108" s="298">
        <v>11006981</v>
      </c>
      <c r="I108" s="3" t="s">
        <v>2785</v>
      </c>
      <c r="J108" s="3" t="s">
        <v>2866</v>
      </c>
      <c r="K108" s="331">
        <v>385</v>
      </c>
      <c r="L108" s="3" t="s">
        <v>2287</v>
      </c>
      <c r="M108" s="223">
        <v>2194599</v>
      </c>
      <c r="N108" s="347">
        <v>45572</v>
      </c>
      <c r="O108" s="347">
        <v>46302</v>
      </c>
      <c r="P108" s="197">
        <v>2194599</v>
      </c>
      <c r="Q108" s="174" t="s">
        <v>2867</v>
      </c>
      <c r="R108" s="174" t="s">
        <v>2860</v>
      </c>
      <c r="S108" s="478">
        <v>298.89999999999998</v>
      </c>
      <c r="T108" s="373"/>
      <c r="U108" s="381" t="s">
        <v>2071</v>
      </c>
      <c r="V108" s="184" t="s">
        <v>2071</v>
      </c>
      <c r="W108" s="184" t="s">
        <v>2071</v>
      </c>
      <c r="X108" s="382"/>
      <c r="Y108" s="382"/>
      <c r="Z108" s="184" t="s">
        <v>2071</v>
      </c>
      <c r="AA108" s="382"/>
      <c r="AB108" s="8" t="s">
        <v>3465</v>
      </c>
      <c r="AC108" s="8" t="s">
        <v>3466</v>
      </c>
      <c r="AD108" s="83" t="s">
        <v>2071</v>
      </c>
      <c r="AE108" s="67">
        <f t="shared" si="1"/>
        <v>683.9</v>
      </c>
      <c r="AF108" s="69" t="s">
        <v>3467</v>
      </c>
      <c r="AG108" s="485">
        <v>45904</v>
      </c>
      <c r="AH108" s="12"/>
    </row>
    <row r="109" spans="1:34">
      <c r="A109" s="775">
        <v>663</v>
      </c>
      <c r="B109" s="174" t="s">
        <v>314</v>
      </c>
      <c r="C109" s="174" t="s">
        <v>309</v>
      </c>
      <c r="D109" s="629" t="s">
        <v>2284</v>
      </c>
      <c r="E109" s="174" t="s">
        <v>2857</v>
      </c>
      <c r="F109" s="347">
        <v>46006</v>
      </c>
      <c r="G109" s="347">
        <v>47102</v>
      </c>
      <c r="H109" s="348" t="s">
        <v>3468</v>
      </c>
      <c r="I109" s="174" t="s">
        <v>2333</v>
      </c>
      <c r="J109" s="174" t="s">
        <v>1951</v>
      </c>
      <c r="K109" s="509">
        <v>450.25</v>
      </c>
      <c r="L109" s="96" t="s">
        <v>1954</v>
      </c>
      <c r="M109" s="162">
        <v>22153440</v>
      </c>
      <c r="N109" s="347">
        <v>46192</v>
      </c>
      <c r="O109" s="91">
        <v>47288</v>
      </c>
      <c r="P109" s="406">
        <v>920000221278995</v>
      </c>
      <c r="Q109" s="10" t="s">
        <v>2333</v>
      </c>
      <c r="R109" s="10" t="s">
        <v>1951</v>
      </c>
      <c r="S109" s="478">
        <v>380</v>
      </c>
      <c r="T109" s="461"/>
      <c r="U109" s="184" t="s">
        <v>2071</v>
      </c>
      <c r="V109" s="184" t="s">
        <v>2071</v>
      </c>
      <c r="W109" s="184" t="s">
        <v>2071</v>
      </c>
      <c r="X109" s="184"/>
      <c r="Y109" s="184"/>
      <c r="Z109" s="184" t="s">
        <v>2071</v>
      </c>
      <c r="AA109" s="184"/>
      <c r="AB109" s="8" t="s">
        <v>3469</v>
      </c>
      <c r="AC109" s="8" t="s">
        <v>3470</v>
      </c>
      <c r="AD109" s="83" t="s">
        <v>2071</v>
      </c>
      <c r="AE109" s="80">
        <f t="shared" si="1"/>
        <v>830.25</v>
      </c>
      <c r="AF109" s="8" t="s">
        <v>3471</v>
      </c>
      <c r="AG109" s="485">
        <v>46192</v>
      </c>
      <c r="AH109" s="8"/>
    </row>
    <row r="110" spans="1:34">
      <c r="A110" s="776">
        <v>664</v>
      </c>
      <c r="B110" s="367" t="s">
        <v>88</v>
      </c>
      <c r="C110" s="94" t="s">
        <v>718</v>
      </c>
      <c r="D110" s="367" t="s">
        <v>2284</v>
      </c>
      <c r="E110" s="367" t="s">
        <v>2857</v>
      </c>
      <c r="F110" s="397">
        <v>45966</v>
      </c>
      <c r="G110" s="397">
        <v>47062</v>
      </c>
      <c r="H110" s="380" t="s">
        <v>3472</v>
      </c>
      <c r="I110" s="396" t="s">
        <v>2333</v>
      </c>
      <c r="J110" s="94" t="s">
        <v>1951</v>
      </c>
      <c r="K110" s="468">
        <v>433.98</v>
      </c>
      <c r="L110" s="69" t="s">
        <v>1954</v>
      </c>
      <c r="M110" s="17">
        <v>2341178</v>
      </c>
      <c r="N110" s="84">
        <v>45778</v>
      </c>
      <c r="O110" s="84">
        <v>46508</v>
      </c>
      <c r="P110" s="388" t="s">
        <v>3473</v>
      </c>
      <c r="Q110" s="17" t="s">
        <v>2887</v>
      </c>
      <c r="R110" s="17" t="s">
        <v>2860</v>
      </c>
      <c r="S110" s="411">
        <v>144.09</v>
      </c>
      <c r="T110" s="349"/>
      <c r="U110" s="184" t="s">
        <v>2071</v>
      </c>
      <c r="V110" s="184" t="s">
        <v>2071</v>
      </c>
      <c r="W110" s="449" t="s">
        <v>2071</v>
      </c>
      <c r="X110" s="438"/>
      <c r="Y110" s="438"/>
      <c r="Z110" s="438" t="s">
        <v>2071</v>
      </c>
      <c r="AA110" s="438"/>
      <c r="AB110" s="8" t="s">
        <v>3474</v>
      </c>
      <c r="AC110" s="8" t="s">
        <v>3475</v>
      </c>
      <c r="AD110" s="83" t="s">
        <v>3476</v>
      </c>
      <c r="AE110" s="67">
        <f t="shared" si="1"/>
        <v>578.07000000000005</v>
      </c>
      <c r="AF110" s="96" t="s">
        <v>3477</v>
      </c>
      <c r="AG110" s="91">
        <v>45966</v>
      </c>
      <c r="AH110" s="6"/>
    </row>
    <row r="111" spans="1:34">
      <c r="A111" s="773">
        <v>665</v>
      </c>
      <c r="B111" s="154" t="s">
        <v>58</v>
      </c>
      <c r="C111" s="17" t="s">
        <v>722</v>
      </c>
      <c r="D111" s="154" t="s">
        <v>2284</v>
      </c>
      <c r="E111" s="154" t="s">
        <v>2857</v>
      </c>
      <c r="F111" s="401">
        <v>46009</v>
      </c>
      <c r="G111" s="401">
        <v>47105</v>
      </c>
      <c r="H111" s="388" t="s">
        <v>3478</v>
      </c>
      <c r="I111" s="17" t="s">
        <v>2333</v>
      </c>
      <c r="J111" s="181" t="s">
        <v>1951</v>
      </c>
      <c r="K111" s="439">
        <v>439.27</v>
      </c>
      <c r="L111" s="504" t="s">
        <v>2287</v>
      </c>
      <c r="M111" s="400" t="s">
        <v>3479</v>
      </c>
      <c r="N111" s="401">
        <v>45572</v>
      </c>
      <c r="O111" s="401">
        <v>46302</v>
      </c>
      <c r="P111" s="451">
        <v>2194601</v>
      </c>
      <c r="Q111" s="400" t="s">
        <v>2867</v>
      </c>
      <c r="R111" s="400" t="s">
        <v>2860</v>
      </c>
      <c r="S111" s="443">
        <v>298.89999999999998</v>
      </c>
      <c r="T111" s="389"/>
      <c r="U111" s="184" t="s">
        <v>2071</v>
      </c>
      <c r="V111" s="464" t="s">
        <v>2071</v>
      </c>
      <c r="W111" s="184" t="s">
        <v>2071</v>
      </c>
      <c r="X111" s="349"/>
      <c r="Y111" s="349"/>
      <c r="Z111" s="349" t="s">
        <v>2071</v>
      </c>
      <c r="AA111" s="349"/>
      <c r="AB111" s="390" t="s">
        <v>3480</v>
      </c>
      <c r="AC111" s="94" t="s">
        <v>3481</v>
      </c>
      <c r="AD111" s="376" t="s">
        <v>3482</v>
      </c>
      <c r="AE111" s="67">
        <f t="shared" si="1"/>
        <v>738.17</v>
      </c>
      <c r="AF111" s="6" t="s">
        <v>3483</v>
      </c>
      <c r="AG111" s="78">
        <v>46009</v>
      </c>
      <c r="AH111" s="69"/>
    </row>
    <row r="112" spans="1:34">
      <c r="A112" s="319">
        <v>667</v>
      </c>
      <c r="B112" s="458" t="s">
        <v>251</v>
      </c>
      <c r="C112" s="960" t="s">
        <v>731</v>
      </c>
      <c r="D112" s="960" t="s">
        <v>1956</v>
      </c>
      <c r="E112" s="960" t="s">
        <v>3190</v>
      </c>
      <c r="F112" s="961">
        <v>45237</v>
      </c>
      <c r="G112" s="962">
        <v>46333</v>
      </c>
      <c r="H112" s="963">
        <v>9307721</v>
      </c>
      <c r="I112" s="964" t="s">
        <v>2785</v>
      </c>
      <c r="J112" s="965" t="s">
        <v>1951</v>
      </c>
      <c r="K112" s="929">
        <v>500.62</v>
      </c>
      <c r="L112" s="69" t="s">
        <v>1954</v>
      </c>
      <c r="M112" s="154">
        <v>3249939</v>
      </c>
      <c r="N112" s="84">
        <v>45957</v>
      </c>
      <c r="O112" s="84">
        <v>46687</v>
      </c>
      <c r="P112" s="12" t="s">
        <v>3484</v>
      </c>
      <c r="Q112" s="17" t="s">
        <v>2876</v>
      </c>
      <c r="R112" s="17" t="s">
        <v>2860</v>
      </c>
      <c r="S112" s="493">
        <v>94.9</v>
      </c>
      <c r="T112" s="490"/>
      <c r="U112" s="184" t="s">
        <v>2071</v>
      </c>
      <c r="V112" s="184" t="s">
        <v>2071</v>
      </c>
      <c r="W112" s="461" t="s">
        <v>2071</v>
      </c>
      <c r="X112" s="382"/>
      <c r="Y112" s="382"/>
      <c r="Z112" s="374" t="s">
        <v>2071</v>
      </c>
      <c r="AA112" s="382"/>
      <c r="AB112" s="8" t="s">
        <v>3485</v>
      </c>
      <c r="AC112" s="8" t="s">
        <v>3486</v>
      </c>
      <c r="AD112" s="83" t="s">
        <v>2071</v>
      </c>
      <c r="AE112" s="67">
        <f t="shared" si="1"/>
        <v>595.52</v>
      </c>
      <c r="AF112" s="68" t="s">
        <v>3487</v>
      </c>
      <c r="AG112" s="78">
        <v>45957</v>
      </c>
      <c r="AH112" s="17"/>
    </row>
    <row r="113" spans="1:34">
      <c r="A113" s="781">
        <v>671</v>
      </c>
      <c r="B113" s="3" t="s">
        <v>159</v>
      </c>
      <c r="C113" s="3" t="s">
        <v>732</v>
      </c>
      <c r="D113" s="3" t="s">
        <v>1954</v>
      </c>
      <c r="E113" s="8">
        <v>22153440</v>
      </c>
      <c r="F113" s="78">
        <v>46174</v>
      </c>
      <c r="G113" s="78">
        <v>47270</v>
      </c>
      <c r="H113" s="298">
        <v>621660221284099</v>
      </c>
      <c r="I113" s="3" t="s">
        <v>2333</v>
      </c>
      <c r="J113" s="3" t="s">
        <v>1951</v>
      </c>
      <c r="K113" s="439">
        <v>380</v>
      </c>
      <c r="L113" s="8" t="s">
        <v>2284</v>
      </c>
      <c r="M113" s="995" t="s">
        <v>2918</v>
      </c>
      <c r="N113" s="78">
        <v>45960</v>
      </c>
      <c r="O113" s="78">
        <v>47056</v>
      </c>
      <c r="P113" s="8" t="s">
        <v>3488</v>
      </c>
      <c r="Q113" s="8" t="s">
        <v>2859</v>
      </c>
      <c r="R113" s="8" t="s">
        <v>2860</v>
      </c>
      <c r="S113" s="617">
        <v>192.2</v>
      </c>
      <c r="T113" s="494"/>
      <c r="U113" s="184" t="s">
        <v>2071</v>
      </c>
      <c r="V113" s="184" t="s">
        <v>2071</v>
      </c>
      <c r="W113" s="184" t="s">
        <v>2071</v>
      </c>
      <c r="X113" s="184"/>
      <c r="Y113" s="184"/>
      <c r="Z113" s="381" t="s">
        <v>2071</v>
      </c>
      <c r="AA113" s="429"/>
      <c r="AB113" s="376" t="s">
        <v>3489</v>
      </c>
      <c r="AC113" s="376" t="s">
        <v>3490</v>
      </c>
      <c r="AD113" s="376" t="s">
        <v>3491</v>
      </c>
      <c r="AE113" s="67">
        <f t="shared" si="1"/>
        <v>572.20000000000005</v>
      </c>
      <c r="AF113" s="390" t="s">
        <v>3492</v>
      </c>
      <c r="AG113" s="78">
        <v>46181</v>
      </c>
      <c r="AH113" s="7"/>
    </row>
    <row r="114" spans="1:34">
      <c r="A114" s="320">
        <v>672</v>
      </c>
      <c r="B114" s="367" t="s">
        <v>58</v>
      </c>
      <c r="C114" s="376" t="s">
        <v>744</v>
      </c>
      <c r="D114" s="367" t="s">
        <v>2284</v>
      </c>
      <c r="E114" s="296" t="s">
        <v>2857</v>
      </c>
      <c r="F114" s="91">
        <v>45994</v>
      </c>
      <c r="G114" s="91">
        <v>47090</v>
      </c>
      <c r="H114" s="406" t="s">
        <v>3493</v>
      </c>
      <c r="I114" s="404" t="s">
        <v>2333</v>
      </c>
      <c r="J114" s="16" t="s">
        <v>1951</v>
      </c>
      <c r="K114" s="571">
        <v>439.27</v>
      </c>
      <c r="L114" s="452" t="s">
        <v>2287</v>
      </c>
      <c r="M114" s="404" t="s">
        <v>3494</v>
      </c>
      <c r="N114" s="444">
        <v>45572</v>
      </c>
      <c r="O114" s="444">
        <v>46302</v>
      </c>
      <c r="P114" s="459">
        <v>2194607</v>
      </c>
      <c r="Q114" s="404" t="s">
        <v>2867</v>
      </c>
      <c r="R114" s="404" t="s">
        <v>2860</v>
      </c>
      <c r="S114" s="478">
        <v>298.89999999999998</v>
      </c>
      <c r="T114" s="373"/>
      <c r="U114" s="184" t="s">
        <v>2071</v>
      </c>
      <c r="V114" s="184" t="s">
        <v>2071</v>
      </c>
      <c r="W114" s="184" t="s">
        <v>2071</v>
      </c>
      <c r="X114" s="382"/>
      <c r="Y114" s="382"/>
      <c r="Z114" s="349" t="s">
        <v>2071</v>
      </c>
      <c r="AA114" s="349"/>
      <c r="AB114" s="8" t="s">
        <v>3495</v>
      </c>
      <c r="AC114" s="8" t="s">
        <v>3496</v>
      </c>
      <c r="AD114" s="83" t="s">
        <v>3497</v>
      </c>
      <c r="AE114" s="67">
        <f t="shared" si="1"/>
        <v>738.17</v>
      </c>
      <c r="AF114" s="68" t="s">
        <v>3498</v>
      </c>
      <c r="AG114" s="78">
        <v>45994</v>
      </c>
      <c r="AH114" s="96"/>
    </row>
    <row r="115" spans="1:34">
      <c r="A115" s="773">
        <v>674</v>
      </c>
      <c r="B115" s="154" t="s">
        <v>58</v>
      </c>
      <c r="C115" s="154" t="s">
        <v>751</v>
      </c>
      <c r="D115" s="407" t="s">
        <v>2284</v>
      </c>
      <c r="E115" s="407" t="s">
        <v>2857</v>
      </c>
      <c r="F115" s="378">
        <v>46007</v>
      </c>
      <c r="G115" s="378">
        <v>47103</v>
      </c>
      <c r="H115" s="368" t="s">
        <v>3499</v>
      </c>
      <c r="I115" s="367" t="s">
        <v>2333</v>
      </c>
      <c r="J115" s="385" t="s">
        <v>1951</v>
      </c>
      <c r="K115" s="439">
        <v>439.27</v>
      </c>
      <c r="L115" s="402" t="s">
        <v>2287</v>
      </c>
      <c r="M115" s="404" t="s">
        <v>3327</v>
      </c>
      <c r="N115" s="444">
        <v>45572</v>
      </c>
      <c r="O115" s="444">
        <v>46302</v>
      </c>
      <c r="P115" s="459">
        <v>2194611</v>
      </c>
      <c r="Q115" s="404" t="s">
        <v>2867</v>
      </c>
      <c r="R115" s="404" t="s">
        <v>2860</v>
      </c>
      <c r="S115" s="478">
        <v>292.29000000000002</v>
      </c>
      <c r="T115" s="381"/>
      <c r="U115" s="184" t="s">
        <v>2071</v>
      </c>
      <c r="V115" s="184" t="s">
        <v>2071</v>
      </c>
      <c r="W115" s="184" t="s">
        <v>2071</v>
      </c>
      <c r="X115" s="184"/>
      <c r="Y115" s="184"/>
      <c r="Z115" s="184" t="s">
        <v>2071</v>
      </c>
      <c r="AA115" s="184"/>
      <c r="AB115" s="8" t="s">
        <v>3500</v>
      </c>
      <c r="AC115" s="8" t="s">
        <v>3501</v>
      </c>
      <c r="AD115" s="83" t="s">
        <v>2071</v>
      </c>
      <c r="AE115" s="67">
        <f t="shared" si="1"/>
        <v>731.56</v>
      </c>
      <c r="AF115" s="68" t="s">
        <v>3502</v>
      </c>
      <c r="AG115" s="78">
        <v>46007</v>
      </c>
      <c r="AH115" s="69"/>
    </row>
    <row r="116" spans="1:34">
      <c r="A116" s="783">
        <v>676</v>
      </c>
      <c r="B116" s="174" t="s">
        <v>50</v>
      </c>
      <c r="C116" s="10" t="s">
        <v>762</v>
      </c>
      <c r="D116" s="10" t="s">
        <v>2284</v>
      </c>
      <c r="E116" s="174" t="s">
        <v>2857</v>
      </c>
      <c r="F116" s="235">
        <v>46044</v>
      </c>
      <c r="G116" s="91">
        <v>47140</v>
      </c>
      <c r="H116" s="406" t="s">
        <v>3503</v>
      </c>
      <c r="I116" s="10" t="s">
        <v>2333</v>
      </c>
      <c r="J116" s="16" t="s">
        <v>1951</v>
      </c>
      <c r="K116" s="468">
        <v>433.98</v>
      </c>
      <c r="L116" s="832" t="s">
        <v>1954</v>
      </c>
      <c r="M116" s="833">
        <v>2341178</v>
      </c>
      <c r="N116" s="703">
        <v>44139</v>
      </c>
      <c r="O116" s="871" t="s">
        <v>1968</v>
      </c>
      <c r="P116" s="856">
        <v>511960127240099</v>
      </c>
      <c r="Q116" s="833" t="s">
        <v>3504</v>
      </c>
      <c r="R116" s="833" t="s">
        <v>1951</v>
      </c>
      <c r="S116" s="876">
        <v>501.99</v>
      </c>
      <c r="T116" s="349"/>
      <c r="U116" s="449" t="s">
        <v>2071</v>
      </c>
      <c r="V116" s="449" t="s">
        <v>2071</v>
      </c>
      <c r="W116" s="449" t="s">
        <v>2071</v>
      </c>
      <c r="X116" s="349"/>
      <c r="Y116" s="349"/>
      <c r="Z116" s="349" t="s">
        <v>2071</v>
      </c>
      <c r="AA116" s="349"/>
      <c r="AB116" s="8" t="s">
        <v>3505</v>
      </c>
      <c r="AC116" s="8" t="s">
        <v>3506</v>
      </c>
      <c r="AD116" s="83" t="s">
        <v>3507</v>
      </c>
      <c r="AE116" s="67">
        <f t="shared" si="1"/>
        <v>935.97</v>
      </c>
      <c r="AF116" s="68" t="s">
        <v>3508</v>
      </c>
      <c r="AG116" s="78">
        <v>46044</v>
      </c>
      <c r="AH116" s="96"/>
    </row>
    <row r="117" spans="1:34">
      <c r="A117" s="774">
        <v>677</v>
      </c>
      <c r="B117" s="154" t="s">
        <v>77</v>
      </c>
      <c r="C117" s="17" t="s">
        <v>2891</v>
      </c>
      <c r="D117" s="68" t="s">
        <v>2284</v>
      </c>
      <c r="E117" s="174" t="s">
        <v>3042</v>
      </c>
      <c r="F117" s="78">
        <v>46211</v>
      </c>
      <c r="G117" s="78">
        <v>47307</v>
      </c>
      <c r="H117" s="388" t="s">
        <v>3509</v>
      </c>
      <c r="I117" s="8" t="s">
        <v>2333</v>
      </c>
      <c r="J117" s="181" t="s">
        <v>1951</v>
      </c>
      <c r="K117" s="1069">
        <v>430.61</v>
      </c>
      <c r="L117" s="8" t="s">
        <v>2297</v>
      </c>
      <c r="M117" s="218">
        <v>23348</v>
      </c>
      <c r="N117" s="413">
        <v>46028</v>
      </c>
      <c r="O117" s="78">
        <v>46758</v>
      </c>
      <c r="P117" s="8" t="s">
        <v>3510</v>
      </c>
      <c r="Q117" s="8" t="s">
        <v>3143</v>
      </c>
      <c r="R117" s="8" t="s">
        <v>2860</v>
      </c>
      <c r="S117" s="625">
        <v>227.03</v>
      </c>
      <c r="T117" s="1072" t="s">
        <v>3511</v>
      </c>
      <c r="U117" s="8" t="s">
        <v>2878</v>
      </c>
      <c r="V117" s="349" t="s">
        <v>2370</v>
      </c>
      <c r="W117" s="218" t="s">
        <v>3512</v>
      </c>
      <c r="X117" s="349" t="s">
        <v>2880</v>
      </c>
      <c r="Y117" s="382">
        <v>0</v>
      </c>
      <c r="Z117" s="349" t="s">
        <v>2071</v>
      </c>
      <c r="AA117" s="349"/>
      <c r="AB117" s="8" t="s">
        <v>3513</v>
      </c>
      <c r="AC117" s="8" t="s">
        <v>3514</v>
      </c>
      <c r="AD117" s="83" t="s">
        <v>2071</v>
      </c>
      <c r="AE117" s="67">
        <f t="shared" si="1"/>
        <v>657.64</v>
      </c>
      <c r="AF117" s="68" t="s">
        <v>3515</v>
      </c>
      <c r="AG117" s="78">
        <v>46224</v>
      </c>
      <c r="AH117" s="68"/>
    </row>
    <row r="118" spans="1:34">
      <c r="A118" s="774">
        <v>678</v>
      </c>
      <c r="B118" s="154" t="s">
        <v>159</v>
      </c>
      <c r="C118" s="638" t="s">
        <v>775</v>
      </c>
      <c r="D118" s="154" t="s">
        <v>2284</v>
      </c>
      <c r="E118" s="407" t="s">
        <v>2857</v>
      </c>
      <c r="F118" s="401">
        <v>45978</v>
      </c>
      <c r="G118" s="639">
        <v>47074</v>
      </c>
      <c r="H118" s="17" t="s">
        <v>3516</v>
      </c>
      <c r="I118" s="504" t="s">
        <v>2333</v>
      </c>
      <c r="J118" s="400" t="s">
        <v>1951</v>
      </c>
      <c r="K118" s="477">
        <v>444.7</v>
      </c>
      <c r="L118" s="396" t="s">
        <v>2287</v>
      </c>
      <c r="M118" s="459">
        <v>1868549</v>
      </c>
      <c r="N118" s="444">
        <v>45708</v>
      </c>
      <c r="O118" s="444">
        <v>46438</v>
      </c>
      <c r="P118" s="510" t="s">
        <v>3517</v>
      </c>
      <c r="Q118" s="404" t="s">
        <v>2859</v>
      </c>
      <c r="R118" s="404" t="s">
        <v>2860</v>
      </c>
      <c r="S118" s="553">
        <v>280</v>
      </c>
      <c r="T118" s="438"/>
      <c r="U118" s="461" t="s">
        <v>2071</v>
      </c>
      <c r="V118" s="461" t="s">
        <v>2071</v>
      </c>
      <c r="W118" s="461" t="s">
        <v>2071</v>
      </c>
      <c r="X118" s="438"/>
      <c r="Y118" s="438"/>
      <c r="Z118" s="349" t="s">
        <v>2071</v>
      </c>
      <c r="AA118" s="349"/>
      <c r="AB118" s="8" t="s">
        <v>3518</v>
      </c>
      <c r="AC118" s="8" t="s">
        <v>3519</v>
      </c>
      <c r="AD118" s="83" t="s">
        <v>2071</v>
      </c>
      <c r="AE118" s="67">
        <f t="shared" si="1"/>
        <v>724.7</v>
      </c>
      <c r="AF118" s="68" t="s">
        <v>3520</v>
      </c>
      <c r="AG118" s="78">
        <v>45978</v>
      </c>
      <c r="AH118" s="68"/>
    </row>
    <row r="119" spans="1:34">
      <c r="A119" s="780">
        <v>679</v>
      </c>
      <c r="B119" s="3" t="s">
        <v>77</v>
      </c>
      <c r="C119" s="8" t="s">
        <v>776</v>
      </c>
      <c r="D119" s="10" t="s">
        <v>2285</v>
      </c>
      <c r="E119" s="576" t="s">
        <v>3521</v>
      </c>
      <c r="F119" s="646">
        <v>45875</v>
      </c>
      <c r="G119" s="78">
        <v>46971</v>
      </c>
      <c r="H119" s="576" t="s">
        <v>3522</v>
      </c>
      <c r="I119" s="8" t="s">
        <v>3523</v>
      </c>
      <c r="J119" s="8" t="s">
        <v>2860</v>
      </c>
      <c r="K119" s="331">
        <v>455.99</v>
      </c>
      <c r="L119" s="8" t="s">
        <v>1954</v>
      </c>
      <c r="M119" s="96">
        <v>2341178</v>
      </c>
      <c r="N119" s="91">
        <v>45804</v>
      </c>
      <c r="O119" s="89">
        <v>46900</v>
      </c>
      <c r="P119" s="8" t="s">
        <v>3524</v>
      </c>
      <c r="Q119" s="68" t="s">
        <v>2887</v>
      </c>
      <c r="R119" s="8" t="s">
        <v>2860</v>
      </c>
      <c r="S119" s="395">
        <v>144.09</v>
      </c>
      <c r="T119" s="829" t="s">
        <v>3525</v>
      </c>
      <c r="U119" s="382" t="s">
        <v>2934</v>
      </c>
      <c r="V119" s="377" t="s">
        <v>2370</v>
      </c>
      <c r="W119" s="7" t="s">
        <v>3526</v>
      </c>
      <c r="X119" s="373" t="s">
        <v>2880</v>
      </c>
      <c r="Y119" s="7"/>
      <c r="Z119" s="184" t="s">
        <v>2071</v>
      </c>
      <c r="AA119" s="7"/>
      <c r="AB119" s="8" t="s">
        <v>3527</v>
      </c>
      <c r="AC119" s="8" t="s">
        <v>3528</v>
      </c>
      <c r="AD119" s="83" t="s">
        <v>2071</v>
      </c>
      <c r="AE119" s="67">
        <f t="shared" si="1"/>
        <v>600.08000000000004</v>
      </c>
      <c r="AF119" s="68" t="s">
        <v>3529</v>
      </c>
      <c r="AG119" s="78">
        <v>45804</v>
      </c>
      <c r="AH119" s="433"/>
    </row>
    <row r="120" spans="1:34">
      <c r="A120" s="776">
        <v>680</v>
      </c>
      <c r="B120" s="367" t="s">
        <v>159</v>
      </c>
      <c r="C120" s="94" t="s">
        <v>158</v>
      </c>
      <c r="D120" s="154" t="s">
        <v>2284</v>
      </c>
      <c r="E120" s="407" t="s">
        <v>2857</v>
      </c>
      <c r="F120" s="91">
        <v>46072</v>
      </c>
      <c r="G120" s="91">
        <v>47168</v>
      </c>
      <c r="H120" s="380" t="s">
        <v>3530</v>
      </c>
      <c r="I120" s="94" t="s">
        <v>2333</v>
      </c>
      <c r="J120" s="376" t="s">
        <v>1951</v>
      </c>
      <c r="K120" s="432">
        <v>444.7</v>
      </c>
      <c r="L120" s="390" t="s">
        <v>2297</v>
      </c>
      <c r="M120" s="550">
        <v>23348</v>
      </c>
      <c r="N120" s="91">
        <v>46161</v>
      </c>
      <c r="O120" s="91">
        <v>46892</v>
      </c>
      <c r="P120" t="s">
        <v>3531</v>
      </c>
      <c r="Q120" s="10" t="s">
        <v>2333</v>
      </c>
      <c r="R120" s="10" t="s">
        <v>1951</v>
      </c>
      <c r="S120" s="884">
        <v>350.62</v>
      </c>
      <c r="T120" s="382"/>
      <c r="U120" s="184" t="s">
        <v>2071</v>
      </c>
      <c r="V120" s="184" t="s">
        <v>2071</v>
      </c>
      <c r="W120" s="184" t="s">
        <v>2071</v>
      </c>
      <c r="X120" s="382"/>
      <c r="Y120" s="382"/>
      <c r="Z120" s="349" t="s">
        <v>2071</v>
      </c>
      <c r="AA120" s="349"/>
      <c r="AB120" s="8" t="s">
        <v>3532</v>
      </c>
      <c r="AC120" s="8" t="s">
        <v>3533</v>
      </c>
      <c r="AD120" s="83" t="s">
        <v>3534</v>
      </c>
      <c r="AE120" s="67">
        <f t="shared" si="1"/>
        <v>795.31999999999994</v>
      </c>
      <c r="AF120" s="68" t="s">
        <v>3535</v>
      </c>
      <c r="AG120" s="78">
        <v>46161</v>
      </c>
      <c r="AH120" s="68"/>
    </row>
    <row r="121" spans="1:34">
      <c r="A121" s="780">
        <v>681</v>
      </c>
      <c r="B121" s="3" t="s">
        <v>792</v>
      </c>
      <c r="C121" s="8" t="s">
        <v>791</v>
      </c>
      <c r="D121" s="68" t="s">
        <v>2284</v>
      </c>
      <c r="E121" s="3" t="s">
        <v>2857</v>
      </c>
      <c r="F121" s="489">
        <v>46043</v>
      </c>
      <c r="G121" s="89">
        <v>47139</v>
      </c>
      <c r="H121" s="81" t="s">
        <v>3536</v>
      </c>
      <c r="I121" s="8" t="s">
        <v>2333</v>
      </c>
      <c r="J121" s="8" t="s">
        <v>1951</v>
      </c>
      <c r="K121" s="468">
        <v>450.25</v>
      </c>
      <c r="L121" s="8" t="s">
        <v>1954</v>
      </c>
      <c r="M121" s="8">
        <v>22153440</v>
      </c>
      <c r="N121" s="413">
        <v>46206</v>
      </c>
      <c r="O121" s="89">
        <v>47302</v>
      </c>
      <c r="P121" s="81">
        <v>640000221274898</v>
      </c>
      <c r="Q121" s="68" t="s">
        <v>2333</v>
      </c>
      <c r="R121" s="8" t="s">
        <v>1951</v>
      </c>
      <c r="S121" s="1070">
        <v>380</v>
      </c>
      <c r="T121" s="349"/>
      <c r="U121" s="184" t="s">
        <v>2071</v>
      </c>
      <c r="V121" s="184" t="s">
        <v>2071</v>
      </c>
      <c r="W121" s="184" t="s">
        <v>2071</v>
      </c>
      <c r="X121" s="349"/>
      <c r="Y121" s="349"/>
      <c r="Z121" s="349" t="s">
        <v>2071</v>
      </c>
      <c r="AA121" s="349"/>
      <c r="AB121" s="8" t="s">
        <v>3537</v>
      </c>
      <c r="AC121" s="8" t="s">
        <v>3538</v>
      </c>
      <c r="AD121" s="83" t="s">
        <v>2071</v>
      </c>
      <c r="AE121" s="67">
        <f t="shared" si="1"/>
        <v>830.25</v>
      </c>
      <c r="AF121" s="68" t="s">
        <v>3539</v>
      </c>
      <c r="AG121" s="78">
        <v>46224</v>
      </c>
      <c r="AH121" s="68"/>
    </row>
    <row r="122" spans="1:34">
      <c r="A122" s="776">
        <v>682</v>
      </c>
      <c r="B122" s="367" t="s">
        <v>58</v>
      </c>
      <c r="C122" s="367" t="s">
        <v>799</v>
      </c>
      <c r="D122" s="367" t="s">
        <v>2284</v>
      </c>
      <c r="E122" s="412" t="s">
        <v>3393</v>
      </c>
      <c r="F122" s="387">
        <v>45838</v>
      </c>
      <c r="G122" s="387">
        <v>46568</v>
      </c>
      <c r="H122" s="367" t="s">
        <v>3540</v>
      </c>
      <c r="I122" s="367" t="s">
        <v>2333</v>
      </c>
      <c r="J122" s="385" t="s">
        <v>1951</v>
      </c>
      <c r="K122" s="432">
        <v>439.27</v>
      </c>
      <c r="L122" s="296" t="s">
        <v>1954</v>
      </c>
      <c r="M122" s="174">
        <v>2341178</v>
      </c>
      <c r="N122" s="295">
        <v>45778</v>
      </c>
      <c r="O122" s="295">
        <v>46508</v>
      </c>
      <c r="P122" s="367" t="s">
        <v>3541</v>
      </c>
      <c r="Q122" s="3" t="s">
        <v>2887</v>
      </c>
      <c r="R122" s="217" t="s">
        <v>2860</v>
      </c>
      <c r="S122" s="393">
        <v>144.09</v>
      </c>
      <c r="T122" s="32"/>
      <c r="U122" s="34" t="s">
        <v>2071</v>
      </c>
      <c r="V122" s="34" t="s">
        <v>2071</v>
      </c>
      <c r="W122" s="34" t="s">
        <v>2071</v>
      </c>
      <c r="X122" s="32"/>
      <c r="Y122" s="32"/>
      <c r="Z122" s="34" t="s">
        <v>2071</v>
      </c>
      <c r="AA122" s="32"/>
      <c r="AB122" s="24" t="s">
        <v>3542</v>
      </c>
      <c r="AC122" s="24" t="s">
        <v>3543</v>
      </c>
      <c r="AD122" s="26" t="s">
        <v>3544</v>
      </c>
      <c r="AE122" s="317">
        <f t="shared" si="1"/>
        <v>583.36</v>
      </c>
      <c r="AF122" s="31" t="s">
        <v>3545</v>
      </c>
      <c r="AG122" s="27">
        <v>45838</v>
      </c>
      <c r="AH122" s="62" t="s">
        <v>3546</v>
      </c>
    </row>
    <row r="123" spans="1:34">
      <c r="A123" s="170">
        <v>684</v>
      </c>
      <c r="B123" s="154" t="s">
        <v>129</v>
      </c>
      <c r="C123" s="17" t="s">
        <v>128</v>
      </c>
      <c r="D123" s="69" t="s">
        <v>2284</v>
      </c>
      <c r="E123" s="458" t="s">
        <v>2857</v>
      </c>
      <c r="F123" s="84">
        <v>46059</v>
      </c>
      <c r="G123" s="84">
        <v>47155</v>
      </c>
      <c r="H123" s="966" t="s">
        <v>3547</v>
      </c>
      <c r="I123" s="17" t="s">
        <v>2333</v>
      </c>
      <c r="J123" s="17" t="s">
        <v>1951</v>
      </c>
      <c r="K123" s="509">
        <v>450.25</v>
      </c>
      <c r="L123" s="867" t="s">
        <v>1954</v>
      </c>
      <c r="M123" s="854">
        <v>2341178</v>
      </c>
      <c r="N123" s="852">
        <v>44504</v>
      </c>
      <c r="O123" s="685" t="s">
        <v>1968</v>
      </c>
      <c r="P123" s="853">
        <v>610000147057593</v>
      </c>
      <c r="Q123" s="867" t="s">
        <v>1987</v>
      </c>
      <c r="R123" s="854" t="s">
        <v>1951</v>
      </c>
      <c r="S123" s="874">
        <v>496.18</v>
      </c>
      <c r="T123" s="349"/>
      <c r="U123" s="184" t="s">
        <v>2071</v>
      </c>
      <c r="V123" s="184" t="s">
        <v>2071</v>
      </c>
      <c r="W123" s="184" t="s">
        <v>2071</v>
      </c>
      <c r="X123" s="349"/>
      <c r="Y123" s="349"/>
      <c r="Z123" s="349" t="s">
        <v>2071</v>
      </c>
      <c r="AA123" s="349"/>
      <c r="AB123" s="8" t="s">
        <v>3548</v>
      </c>
      <c r="AC123" s="8" t="s">
        <v>3549</v>
      </c>
      <c r="AD123" s="83" t="s">
        <v>3550</v>
      </c>
      <c r="AE123" s="67">
        <f t="shared" si="1"/>
        <v>946.43000000000006</v>
      </c>
      <c r="AF123" s="68" t="s">
        <v>3551</v>
      </c>
      <c r="AG123" s="78">
        <v>46059</v>
      </c>
      <c r="AH123" s="69"/>
    </row>
    <row r="124" spans="1:34">
      <c r="A124" s="781">
        <v>685</v>
      </c>
      <c r="B124" s="3" t="s">
        <v>251</v>
      </c>
      <c r="C124" s="8" t="s">
        <v>812</v>
      </c>
      <c r="D124" s="3" t="s">
        <v>2284</v>
      </c>
      <c r="E124" s="3" t="s">
        <v>2857</v>
      </c>
      <c r="F124" s="78">
        <v>45982</v>
      </c>
      <c r="G124" s="295">
        <v>47078</v>
      </c>
      <c r="H124" s="81" t="s">
        <v>3552</v>
      </c>
      <c r="I124" s="3" t="s">
        <v>2333</v>
      </c>
      <c r="J124" s="3" t="s">
        <v>1951</v>
      </c>
      <c r="K124" s="439">
        <v>439.27</v>
      </c>
      <c r="L124" s="217" t="s">
        <v>1954</v>
      </c>
      <c r="M124" s="8">
        <v>22153440</v>
      </c>
      <c r="N124" s="78">
        <v>46174</v>
      </c>
      <c r="O124" s="89">
        <v>47270</v>
      </c>
      <c r="P124" s="81">
        <v>317450221275090</v>
      </c>
      <c r="Q124" s="3" t="s">
        <v>1964</v>
      </c>
      <c r="R124" s="3" t="s">
        <v>1951</v>
      </c>
      <c r="S124" s="617">
        <v>380</v>
      </c>
      <c r="T124" s="373"/>
      <c r="U124" s="184" t="s">
        <v>2071</v>
      </c>
      <c r="V124" s="184" t="s">
        <v>2071</v>
      </c>
      <c r="W124" s="184" t="s">
        <v>2071</v>
      </c>
      <c r="X124" s="349"/>
      <c r="Y124" s="349"/>
      <c r="Z124" s="349" t="s">
        <v>2071</v>
      </c>
      <c r="AA124" s="349"/>
      <c r="AB124" s="8" t="s">
        <v>3553</v>
      </c>
      <c r="AC124" s="8" t="s">
        <v>3554</v>
      </c>
      <c r="AD124" s="83" t="s">
        <v>2071</v>
      </c>
      <c r="AE124" s="67">
        <f t="shared" si="1"/>
        <v>819.27</v>
      </c>
      <c r="AF124" s="68" t="s">
        <v>3555</v>
      </c>
      <c r="AG124" s="89">
        <v>46174</v>
      </c>
      <c r="AH124" s="7"/>
    </row>
    <row r="125" spans="1:34">
      <c r="A125" s="778">
        <v>686</v>
      </c>
      <c r="B125" s="174" t="s">
        <v>50</v>
      </c>
      <c r="C125" s="94" t="s">
        <v>49</v>
      </c>
      <c r="D125" s="94" t="s">
        <v>2286</v>
      </c>
      <c r="E125" s="367" t="s">
        <v>2865</v>
      </c>
      <c r="F125" s="237">
        <v>46094</v>
      </c>
      <c r="G125" s="237">
        <v>47190</v>
      </c>
      <c r="H125" s="94">
        <v>51000144</v>
      </c>
      <c r="I125" s="94" t="s">
        <v>2785</v>
      </c>
      <c r="J125" s="94" t="s">
        <v>2866</v>
      </c>
      <c r="K125" s="460">
        <v>385</v>
      </c>
      <c r="L125" s="404" t="s">
        <v>2287</v>
      </c>
      <c r="M125" s="710">
        <v>2194250</v>
      </c>
      <c r="N125" s="397">
        <v>45595</v>
      </c>
      <c r="O125" s="397">
        <v>46690</v>
      </c>
      <c r="P125" s="398">
        <v>2194250</v>
      </c>
      <c r="Q125" s="396" t="s">
        <v>2859</v>
      </c>
      <c r="R125" s="396" t="s">
        <v>2860</v>
      </c>
      <c r="S125" s="441">
        <v>298.89999999999998</v>
      </c>
      <c r="T125" s="466"/>
      <c r="U125" s="449" t="s">
        <v>2071</v>
      </c>
      <c r="V125" s="449" t="s">
        <v>2071</v>
      </c>
      <c r="W125" s="449" t="s">
        <v>2071</v>
      </c>
      <c r="X125" s="449"/>
      <c r="Y125" s="449"/>
      <c r="Z125" s="449" t="s">
        <v>2071</v>
      </c>
      <c r="AA125" s="449"/>
      <c r="AB125" s="8" t="s">
        <v>3556</v>
      </c>
      <c r="AC125" s="8" t="s">
        <v>3557</v>
      </c>
      <c r="AD125" s="83" t="s">
        <v>2071</v>
      </c>
      <c r="AE125" s="67">
        <f t="shared" si="1"/>
        <v>683.9</v>
      </c>
      <c r="AF125" s="68" t="s">
        <v>3558</v>
      </c>
      <c r="AG125" s="78">
        <v>46094</v>
      </c>
      <c r="AH125" s="104"/>
    </row>
    <row r="126" spans="1:34">
      <c r="A126" s="319">
        <v>687</v>
      </c>
      <c r="B126" s="297" t="s">
        <v>251</v>
      </c>
      <c r="C126" s="939" t="s">
        <v>824</v>
      </c>
      <c r="D126" s="8" t="s">
        <v>1956</v>
      </c>
      <c r="E126" s="931" t="s">
        <v>3190</v>
      </c>
      <c r="F126" s="932">
        <v>45230</v>
      </c>
      <c r="G126" s="952">
        <v>46326</v>
      </c>
      <c r="H126" s="951">
        <v>9312282</v>
      </c>
      <c r="I126" s="941" t="s">
        <v>3086</v>
      </c>
      <c r="J126" s="941" t="s">
        <v>1951</v>
      </c>
      <c r="K126" s="786">
        <v>500.62</v>
      </c>
      <c r="L126" s="390" t="s">
        <v>2284</v>
      </c>
      <c r="M126" s="550" t="s">
        <v>2918</v>
      </c>
      <c r="N126" s="387">
        <v>45946</v>
      </c>
      <c r="O126" s="387">
        <v>47042</v>
      </c>
      <c r="P126" s="17" t="s">
        <v>3559</v>
      </c>
      <c r="Q126" s="17" t="s">
        <v>2859</v>
      </c>
      <c r="R126" s="17" t="s">
        <v>2860</v>
      </c>
      <c r="S126" s="87">
        <v>189.85</v>
      </c>
      <c r="T126" s="349"/>
      <c r="U126" s="184" t="s">
        <v>2071</v>
      </c>
      <c r="V126" s="184" t="s">
        <v>2071</v>
      </c>
      <c r="W126" s="184" t="s">
        <v>2071</v>
      </c>
      <c r="X126" s="349"/>
      <c r="Y126" s="349"/>
      <c r="Z126" s="349" t="s">
        <v>2071</v>
      </c>
      <c r="AA126" s="349"/>
      <c r="AB126" s="68" t="s">
        <v>3560</v>
      </c>
      <c r="AC126" s="8" t="s">
        <v>3561</v>
      </c>
      <c r="AD126" s="83" t="s">
        <v>2071</v>
      </c>
      <c r="AE126" s="67">
        <f t="shared" si="1"/>
        <v>690.47</v>
      </c>
      <c r="AF126" s="68" t="s">
        <v>3562</v>
      </c>
      <c r="AG126" s="78">
        <v>45946</v>
      </c>
    </row>
    <row r="127" spans="1:34">
      <c r="A127" s="321">
        <v>688</v>
      </c>
      <c r="B127" s="367" t="s">
        <v>446</v>
      </c>
      <c r="C127" s="367" t="s">
        <v>94</v>
      </c>
      <c r="D127" s="367" t="s">
        <v>2284</v>
      </c>
      <c r="E127" s="367" t="s">
        <v>2857</v>
      </c>
      <c r="F127" s="347">
        <v>45965</v>
      </c>
      <c r="G127" s="347">
        <v>47061</v>
      </c>
      <c r="H127" s="348" t="s">
        <v>3563</v>
      </c>
      <c r="I127" s="174" t="s">
        <v>2333</v>
      </c>
      <c r="J127" s="174" t="s">
        <v>1951</v>
      </c>
      <c r="K127" s="468">
        <v>433.98</v>
      </c>
      <c r="L127" s="400" t="s">
        <v>2287</v>
      </c>
      <c r="M127" s="400">
        <v>2194695</v>
      </c>
      <c r="N127" s="371">
        <v>45572</v>
      </c>
      <c r="O127" s="371">
        <v>46302</v>
      </c>
      <c r="P127" s="369">
        <v>2194695</v>
      </c>
      <c r="Q127" s="369" t="s">
        <v>2859</v>
      </c>
      <c r="R127" s="369" t="s">
        <v>2860</v>
      </c>
      <c r="S127" s="577">
        <v>304.02</v>
      </c>
      <c r="T127" s="467"/>
      <c r="U127" s="382"/>
      <c r="V127" s="408"/>
      <c r="W127" s="11"/>
      <c r="X127" s="374"/>
      <c r="Y127" s="461"/>
      <c r="Z127" s="461" t="s">
        <v>2071</v>
      </c>
      <c r="AA127" s="461"/>
      <c r="AB127" s="8" t="s">
        <v>3564</v>
      </c>
      <c r="AC127" s="8" t="s">
        <v>3565</v>
      </c>
      <c r="AD127" s="83" t="s">
        <v>2071</v>
      </c>
      <c r="AE127" s="67">
        <f t="shared" si="1"/>
        <v>738</v>
      </c>
      <c r="AF127" s="68" t="s">
        <v>3566</v>
      </c>
      <c r="AG127" s="78">
        <v>45965</v>
      </c>
      <c r="AH127" s="480"/>
    </row>
    <row r="128" spans="1:34">
      <c r="A128" s="779">
        <v>689</v>
      </c>
      <c r="B128" s="839" t="s">
        <v>58</v>
      </c>
      <c r="C128" s="839" t="s">
        <v>95</v>
      </c>
      <c r="D128" s="839" t="s">
        <v>1954</v>
      </c>
      <c r="E128" s="23">
        <v>22153440</v>
      </c>
      <c r="F128" s="1071">
        <v>44490</v>
      </c>
      <c r="G128" s="703" t="s">
        <v>1968</v>
      </c>
      <c r="H128" s="704">
        <v>110003782012593</v>
      </c>
      <c r="I128" s="701" t="s">
        <v>1987</v>
      </c>
      <c r="J128" s="858" t="s">
        <v>1951</v>
      </c>
      <c r="K128" s="859">
        <v>496.18</v>
      </c>
      <c r="L128" s="8" t="s">
        <v>2284</v>
      </c>
      <c r="M128" s="3" t="s">
        <v>3042</v>
      </c>
      <c r="N128" s="413">
        <v>46206</v>
      </c>
      <c r="O128" s="89">
        <v>47302</v>
      </c>
      <c r="P128" s="406" t="s">
        <v>3567</v>
      </c>
      <c r="Q128" s="68" t="s">
        <v>2333</v>
      </c>
      <c r="R128" s="10" t="s">
        <v>1951</v>
      </c>
      <c r="S128" s="441">
        <v>403.13</v>
      </c>
      <c r="T128" s="389"/>
      <c r="U128" s="449" t="s">
        <v>2071</v>
      </c>
      <c r="V128" s="449" t="s">
        <v>2071</v>
      </c>
      <c r="W128" s="449" t="s">
        <v>2071</v>
      </c>
      <c r="X128" s="437"/>
      <c r="Y128" s="437"/>
      <c r="Z128" s="438" t="s">
        <v>2071</v>
      </c>
      <c r="AA128" s="438"/>
      <c r="AB128" s="17" t="s">
        <v>3568</v>
      </c>
      <c r="AC128" s="17" t="s">
        <v>3569</v>
      </c>
      <c r="AD128" s="181" t="s">
        <v>2071</v>
      </c>
      <c r="AE128" s="85">
        <f t="shared" si="1"/>
        <v>899.31</v>
      </c>
      <c r="AF128" s="69" t="s">
        <v>3570</v>
      </c>
      <c r="AG128" s="78">
        <v>46224</v>
      </c>
      <c r="AH128" s="480"/>
    </row>
    <row r="129" spans="1:34">
      <c r="A129" s="773">
        <v>696</v>
      </c>
      <c r="B129" s="367" t="s">
        <v>88</v>
      </c>
      <c r="C129" s="396" t="s">
        <v>842</v>
      </c>
      <c r="D129" s="367" t="s">
        <v>2284</v>
      </c>
      <c r="E129" s="367" t="s">
        <v>2857</v>
      </c>
      <c r="F129" s="925">
        <v>45995</v>
      </c>
      <c r="G129" s="925">
        <v>47091</v>
      </c>
      <c r="H129" s="17" t="s">
        <v>3571</v>
      </c>
      <c r="I129" s="400" t="s">
        <v>2333</v>
      </c>
      <c r="J129" s="400" t="s">
        <v>1951</v>
      </c>
      <c r="K129" s="468">
        <v>433.98</v>
      </c>
      <c r="L129" s="402" t="s">
        <v>2287</v>
      </c>
      <c r="M129" s="556">
        <v>2194616</v>
      </c>
      <c r="N129" s="401">
        <v>45572</v>
      </c>
      <c r="O129" s="401">
        <v>46302</v>
      </c>
      <c r="P129" s="451">
        <v>2194616</v>
      </c>
      <c r="Q129" s="400" t="s">
        <v>2859</v>
      </c>
      <c r="R129" s="400" t="s">
        <v>2860</v>
      </c>
      <c r="S129" s="477">
        <v>288.29000000000002</v>
      </c>
      <c r="T129" s="349"/>
      <c r="U129" s="184" t="s">
        <v>2071</v>
      </c>
      <c r="V129" s="184" t="s">
        <v>2071</v>
      </c>
      <c r="W129" s="184" t="s">
        <v>2071</v>
      </c>
      <c r="X129" s="349"/>
      <c r="Y129" s="349"/>
      <c r="Z129" s="349" t="s">
        <v>2071</v>
      </c>
      <c r="AA129" s="349"/>
      <c r="AB129" s="8" t="s">
        <v>3572</v>
      </c>
      <c r="AC129" s="8" t="s">
        <v>3573</v>
      </c>
      <c r="AD129" s="8" t="s">
        <v>3574</v>
      </c>
      <c r="AE129" s="85">
        <f t="shared" si="1"/>
        <v>722.27</v>
      </c>
      <c r="AF129" s="17" t="s">
        <v>3575</v>
      </c>
      <c r="AG129" s="84">
        <v>45995</v>
      </c>
      <c r="AH129" s="12"/>
    </row>
    <row r="130" spans="1:34">
      <c r="A130" s="782">
        <v>698</v>
      </c>
      <c r="B130" s="3" t="s">
        <v>58</v>
      </c>
      <c r="C130" s="3" t="s">
        <v>848</v>
      </c>
      <c r="D130" s="3" t="s">
        <v>2284</v>
      </c>
      <c r="E130" s="3" t="s">
        <v>2857</v>
      </c>
      <c r="F130" s="295">
        <v>45996</v>
      </c>
      <c r="G130" s="78">
        <v>47092</v>
      </c>
      <c r="H130" s="8" t="s">
        <v>3576</v>
      </c>
      <c r="I130" s="3" t="s">
        <v>2333</v>
      </c>
      <c r="J130" s="3" t="s">
        <v>1951</v>
      </c>
      <c r="K130" s="439">
        <v>439.27</v>
      </c>
      <c r="L130" s="217" t="s">
        <v>1954</v>
      </c>
      <c r="M130" s="8">
        <v>22153440</v>
      </c>
      <c r="N130" s="78">
        <v>46174</v>
      </c>
      <c r="O130" s="89">
        <v>47270</v>
      </c>
      <c r="P130" s="298">
        <v>112923373015394</v>
      </c>
      <c r="Q130" s="3" t="s">
        <v>1964</v>
      </c>
      <c r="R130" s="3" t="s">
        <v>1951</v>
      </c>
      <c r="S130" s="617">
        <v>380</v>
      </c>
      <c r="T130" s="374"/>
      <c r="U130" s="461" t="s">
        <v>2071</v>
      </c>
      <c r="V130" s="461" t="s">
        <v>2071</v>
      </c>
      <c r="W130" s="461" t="s">
        <v>2071</v>
      </c>
      <c r="X130" s="382"/>
      <c r="Y130" s="382"/>
      <c r="Z130" s="382" t="s">
        <v>2071</v>
      </c>
      <c r="AA130" s="382"/>
      <c r="AB130" s="10" t="s">
        <v>3577</v>
      </c>
      <c r="AC130" s="10" t="s">
        <v>3578</v>
      </c>
      <c r="AD130" s="16" t="s">
        <v>3579</v>
      </c>
      <c r="AE130" s="67">
        <f t="shared" ref="AE130:AE193" si="2">SUM(K130+S130+Y130+AA130)</f>
        <v>819.27</v>
      </c>
      <c r="AF130" s="8" t="s">
        <v>3580</v>
      </c>
      <c r="AG130" s="89">
        <v>46174</v>
      </c>
      <c r="AH130" s="7"/>
    </row>
    <row r="131" spans="1:34">
      <c r="A131" s="778">
        <v>699</v>
      </c>
      <c r="B131" s="3" t="s">
        <v>50</v>
      </c>
      <c r="C131" s="8" t="s">
        <v>854</v>
      </c>
      <c r="D131" s="8" t="s">
        <v>2284</v>
      </c>
      <c r="E131" s="3" t="s">
        <v>2857</v>
      </c>
      <c r="F131" s="78">
        <v>46101</v>
      </c>
      <c r="G131" s="78">
        <v>47197</v>
      </c>
      <c r="H131" s="81" t="s">
        <v>3581</v>
      </c>
      <c r="I131" s="8" t="s">
        <v>1964</v>
      </c>
      <c r="J131" s="8" t="s">
        <v>1951</v>
      </c>
      <c r="K131" s="439">
        <v>433.98</v>
      </c>
      <c r="L131" s="68" t="s">
        <v>1954</v>
      </c>
      <c r="M131" s="8">
        <v>22153440</v>
      </c>
      <c r="N131" s="78">
        <v>46174</v>
      </c>
      <c r="O131" s="89">
        <v>47270</v>
      </c>
      <c r="P131" s="958" t="s">
        <v>3582</v>
      </c>
      <c r="Q131" s="8" t="s">
        <v>2333</v>
      </c>
      <c r="R131" s="8" t="s">
        <v>1951</v>
      </c>
      <c r="S131" s="617">
        <v>380</v>
      </c>
      <c r="T131" s="373"/>
      <c r="U131" s="184" t="s">
        <v>2071</v>
      </c>
      <c r="V131" s="184" t="s">
        <v>2071</v>
      </c>
      <c r="W131" s="184" t="s">
        <v>2071</v>
      </c>
      <c r="X131" s="349"/>
      <c r="Y131" s="349"/>
      <c r="Z131" s="349" t="s">
        <v>2071</v>
      </c>
      <c r="AA131" s="349"/>
      <c r="AB131" s="8" t="s">
        <v>3583</v>
      </c>
      <c r="AC131" s="8" t="s">
        <v>3584</v>
      </c>
      <c r="AD131" s="83" t="s">
        <v>3585</v>
      </c>
      <c r="AE131" s="92">
        <f t="shared" si="2"/>
        <v>813.98</v>
      </c>
      <c r="AF131" s="96" t="s">
        <v>3586</v>
      </c>
      <c r="AG131" s="97">
        <v>46174</v>
      </c>
      <c r="AH131" s="7"/>
    </row>
    <row r="132" spans="1:34">
      <c r="A132" s="699">
        <v>700</v>
      </c>
      <c r="B132" s="968" t="s">
        <v>58</v>
      </c>
      <c r="C132" s="48" t="s">
        <v>95</v>
      </c>
      <c r="D132" s="48" t="s">
        <v>1950</v>
      </c>
      <c r="E132" s="48" t="s">
        <v>3393</v>
      </c>
      <c r="F132" s="58">
        <v>44752</v>
      </c>
      <c r="G132" s="871" t="s">
        <v>1968</v>
      </c>
      <c r="H132" s="49" t="s">
        <v>3587</v>
      </c>
      <c r="I132" s="48" t="s">
        <v>3310</v>
      </c>
      <c r="J132" s="48" t="s">
        <v>1951</v>
      </c>
      <c r="K132" s="969">
        <v>439.27</v>
      </c>
      <c r="L132" s="94" t="s">
        <v>1954</v>
      </c>
      <c r="M132" s="94" t="s">
        <v>2874</v>
      </c>
      <c r="N132" s="237">
        <v>46052</v>
      </c>
      <c r="O132" s="391">
        <v>47148</v>
      </c>
      <c r="P132" s="956" t="s">
        <v>3588</v>
      </c>
      <c r="Q132" s="390" t="s">
        <v>3402</v>
      </c>
      <c r="R132" s="94" t="s">
        <v>1951</v>
      </c>
      <c r="S132" s="571">
        <v>480</v>
      </c>
      <c r="T132" s="821" t="s">
        <v>3589</v>
      </c>
      <c r="U132" s="8" t="s">
        <v>2878</v>
      </c>
      <c r="V132" s="184" t="s">
        <v>2010</v>
      </c>
      <c r="W132" s="8">
        <v>11964955549</v>
      </c>
      <c r="X132" s="373" t="s">
        <v>3590</v>
      </c>
      <c r="Y132" s="349">
        <v>23.98</v>
      </c>
      <c r="Z132" s="349" t="s">
        <v>2071</v>
      </c>
      <c r="AA132" s="349"/>
      <c r="AB132" s="8" t="s">
        <v>3591</v>
      </c>
      <c r="AC132" s="8" t="s">
        <v>3592</v>
      </c>
      <c r="AD132" s="83" t="s">
        <v>2071</v>
      </c>
      <c r="AE132" s="67">
        <f t="shared" si="2"/>
        <v>943.25</v>
      </c>
      <c r="AF132" s="68" t="s">
        <v>3593</v>
      </c>
      <c r="AG132" s="78">
        <v>46052</v>
      </c>
      <c r="AH132" s="104" t="s">
        <v>3594</v>
      </c>
    </row>
    <row r="133" spans="1:34">
      <c r="A133" s="780">
        <v>709</v>
      </c>
      <c r="B133" s="3" t="s">
        <v>328</v>
      </c>
      <c r="C133" s="8" t="s">
        <v>327</v>
      </c>
      <c r="D133" s="8" t="s">
        <v>2297</v>
      </c>
      <c r="E133" s="218">
        <v>23348</v>
      </c>
      <c r="F133" s="630">
        <v>46113</v>
      </c>
      <c r="G133" s="78">
        <v>46844</v>
      </c>
      <c r="H133" t="s">
        <v>3595</v>
      </c>
      <c r="I133" s="8" t="s">
        <v>2333</v>
      </c>
      <c r="J133" s="83" t="s">
        <v>1951</v>
      </c>
      <c r="K133" s="439">
        <v>350.62</v>
      </c>
      <c r="L133" s="8" t="s">
        <v>2284</v>
      </c>
      <c r="M133" s="8" t="s">
        <v>2857</v>
      </c>
      <c r="N133" s="78">
        <v>45943</v>
      </c>
      <c r="O133" s="78">
        <v>47039</v>
      </c>
      <c r="P133" s="8" t="s">
        <v>3596</v>
      </c>
      <c r="Q133" s="8" t="s">
        <v>2333</v>
      </c>
      <c r="R133" s="8" t="s">
        <v>1951</v>
      </c>
      <c r="S133" s="811">
        <v>444.7</v>
      </c>
      <c r="T133" s="184"/>
      <c r="U133" s="184"/>
      <c r="V133" s="184"/>
      <c r="W133" s="218"/>
      <c r="X133" s="184"/>
      <c r="Y133" s="435"/>
      <c r="Z133" s="184" t="s">
        <v>2071</v>
      </c>
      <c r="AA133" s="184"/>
      <c r="AB133" s="8" t="s">
        <v>3597</v>
      </c>
      <c r="AC133" s="8" t="s">
        <v>3598</v>
      </c>
      <c r="AD133" s="83"/>
      <c r="AE133" s="67">
        <f t="shared" si="2"/>
        <v>795.31999999999994</v>
      </c>
      <c r="AF133" s="68" t="s">
        <v>3599</v>
      </c>
      <c r="AG133" s="78">
        <v>46113</v>
      </c>
    </row>
    <row r="134" spans="1:34">
      <c r="A134" s="320">
        <v>711</v>
      </c>
      <c r="B134" s="367" t="s">
        <v>58</v>
      </c>
      <c r="C134" s="94" t="s">
        <v>872</v>
      </c>
      <c r="D134" s="94" t="s">
        <v>2284</v>
      </c>
      <c r="E134" s="3" t="s">
        <v>2857</v>
      </c>
      <c r="F134" s="237">
        <v>46080</v>
      </c>
      <c r="G134" s="237">
        <v>47176</v>
      </c>
      <c r="H134" s="380" t="s">
        <v>3600</v>
      </c>
      <c r="I134" s="94" t="s">
        <v>2333</v>
      </c>
      <c r="J134" s="376" t="s">
        <v>1951</v>
      </c>
      <c r="K134" s="405">
        <v>439.27</v>
      </c>
      <c r="L134" s="396" t="s">
        <v>2287</v>
      </c>
      <c r="M134" s="396" t="s">
        <v>3601</v>
      </c>
      <c r="N134" s="397">
        <v>45572</v>
      </c>
      <c r="O134" s="397">
        <v>46302</v>
      </c>
      <c r="P134" s="556">
        <v>2194618</v>
      </c>
      <c r="Q134" s="396" t="s">
        <v>2859</v>
      </c>
      <c r="R134" s="396" t="s">
        <v>2860</v>
      </c>
      <c r="S134" s="446">
        <v>298.89999999999998</v>
      </c>
      <c r="T134" s="373"/>
      <c r="U134" s="184" t="s">
        <v>2071</v>
      </c>
      <c r="V134" s="184" t="s">
        <v>2071</v>
      </c>
      <c r="W134" s="184" t="s">
        <v>2071</v>
      </c>
      <c r="X134" s="349"/>
      <c r="Y134" s="349"/>
      <c r="Z134" s="349" t="s">
        <v>2071</v>
      </c>
      <c r="AA134" s="349"/>
      <c r="AB134" s="8" t="s">
        <v>3602</v>
      </c>
      <c r="AC134" s="8" t="s">
        <v>3603</v>
      </c>
      <c r="AD134" s="83" t="s">
        <v>3604</v>
      </c>
      <c r="AE134" s="67">
        <f t="shared" si="2"/>
        <v>738.17</v>
      </c>
      <c r="AF134" s="68" t="s">
        <v>3605</v>
      </c>
      <c r="AG134" s="78">
        <v>46080</v>
      </c>
      <c r="AH134" s="68"/>
    </row>
    <row r="135" spans="1:34">
      <c r="A135" s="773">
        <v>712</v>
      </c>
      <c r="B135" s="154" t="s">
        <v>50</v>
      </c>
      <c r="C135" s="458" t="s">
        <v>232</v>
      </c>
      <c r="D135" s="154" t="s">
        <v>2284</v>
      </c>
      <c r="E135" s="154" t="s">
        <v>2857</v>
      </c>
      <c r="F135" s="387">
        <v>45957</v>
      </c>
      <c r="G135" s="84">
        <v>47053</v>
      </c>
      <c r="H135" s="17" t="s">
        <v>3606</v>
      </c>
      <c r="I135" s="154" t="s">
        <v>2333</v>
      </c>
      <c r="J135" s="154" t="s">
        <v>1951</v>
      </c>
      <c r="K135" s="468">
        <v>433.98</v>
      </c>
      <c r="L135" s="436" t="s">
        <v>2287</v>
      </c>
      <c r="M135" s="370">
        <v>2194624</v>
      </c>
      <c r="N135" s="371">
        <v>45572</v>
      </c>
      <c r="O135" s="371">
        <v>46302</v>
      </c>
      <c r="P135" s="370">
        <v>2194624</v>
      </c>
      <c r="Q135" s="369" t="s">
        <v>2867</v>
      </c>
      <c r="R135" s="369" t="s">
        <v>2860</v>
      </c>
      <c r="S135" s="488">
        <v>298.89999999999998</v>
      </c>
      <c r="T135" s="448"/>
      <c r="U135" s="449" t="s">
        <v>2071</v>
      </c>
      <c r="V135" s="449" t="s">
        <v>2071</v>
      </c>
      <c r="W135" s="449" t="s">
        <v>2071</v>
      </c>
      <c r="X135" s="438"/>
      <c r="Y135" s="438"/>
      <c r="Z135" s="449" t="s">
        <v>2071</v>
      </c>
      <c r="AA135" s="438"/>
      <c r="AB135" s="17" t="s">
        <v>3607</v>
      </c>
      <c r="AC135" s="17" t="s">
        <v>3608</v>
      </c>
      <c r="AD135" s="181" t="s">
        <v>2071</v>
      </c>
      <c r="AE135" s="85">
        <f t="shared" si="2"/>
        <v>732.88</v>
      </c>
      <c r="AF135" s="69" t="s">
        <v>3609</v>
      </c>
      <c r="AG135" s="78">
        <v>45957</v>
      </c>
      <c r="AH135" s="433"/>
    </row>
    <row r="136" spans="1:34" ht="15" customHeight="1">
      <c r="A136" s="319">
        <v>715</v>
      </c>
      <c r="B136" s="292" t="s">
        <v>88</v>
      </c>
      <c r="C136" s="939" t="s">
        <v>876</v>
      </c>
      <c r="D136" s="939" t="s">
        <v>1956</v>
      </c>
      <c r="E136" s="936" t="s">
        <v>3610</v>
      </c>
      <c r="F136" s="932">
        <v>45230</v>
      </c>
      <c r="G136" s="947">
        <v>46326</v>
      </c>
      <c r="H136" s="950">
        <v>9313070</v>
      </c>
      <c r="I136" s="934" t="s">
        <v>3086</v>
      </c>
      <c r="J136" s="941" t="s">
        <v>1951</v>
      </c>
      <c r="K136" s="929">
        <v>494.31</v>
      </c>
      <c r="L136" s="296" t="s">
        <v>2284</v>
      </c>
      <c r="M136" s="174" t="s">
        <v>2918</v>
      </c>
      <c r="N136" s="347">
        <v>45950</v>
      </c>
      <c r="O136" s="347">
        <v>47046</v>
      </c>
      <c r="P136" s="297" t="s">
        <v>3611</v>
      </c>
      <c r="Q136" s="174" t="s">
        <v>2859</v>
      </c>
      <c r="R136" s="296" t="s">
        <v>2860</v>
      </c>
      <c r="S136" s="487">
        <v>187.56</v>
      </c>
      <c r="T136" s="349"/>
      <c r="U136" s="184" t="s">
        <v>2071</v>
      </c>
      <c r="V136" s="184" t="s">
        <v>2071</v>
      </c>
      <c r="W136" s="184" t="s">
        <v>2071</v>
      </c>
      <c r="X136" s="349"/>
      <c r="Y136" s="349"/>
      <c r="Z136" s="349" t="s">
        <v>2071</v>
      </c>
      <c r="AA136" s="349"/>
      <c r="AB136" s="8" t="s">
        <v>3612</v>
      </c>
      <c r="AC136" s="8" t="s">
        <v>3613</v>
      </c>
      <c r="AD136" s="8" t="s">
        <v>2071</v>
      </c>
      <c r="AE136" s="67">
        <f t="shared" si="2"/>
        <v>681.87</v>
      </c>
      <c r="AF136" s="8" t="s">
        <v>3614</v>
      </c>
      <c r="AG136" s="413">
        <v>45950</v>
      </c>
      <c r="AH136" s="7"/>
    </row>
    <row r="137" spans="1:34">
      <c r="A137" s="320">
        <v>717</v>
      </c>
      <c r="B137" s="385" t="s">
        <v>58</v>
      </c>
      <c r="C137" s="385" t="s">
        <v>885</v>
      </c>
      <c r="D137" s="174" t="s">
        <v>2284</v>
      </c>
      <c r="E137" s="174" t="s">
        <v>2857</v>
      </c>
      <c r="F137" s="347">
        <v>45975</v>
      </c>
      <c r="G137" s="91">
        <v>47071</v>
      </c>
      <c r="H137" s="348" t="s">
        <v>3615</v>
      </c>
      <c r="I137" s="174" t="s">
        <v>2333</v>
      </c>
      <c r="J137" s="174" t="s">
        <v>1951</v>
      </c>
      <c r="K137" s="405">
        <v>439.27</v>
      </c>
      <c r="L137" s="402" t="s">
        <v>2287</v>
      </c>
      <c r="M137" s="396" t="s">
        <v>3616</v>
      </c>
      <c r="N137" s="397">
        <v>45572</v>
      </c>
      <c r="O137" s="397">
        <v>46302</v>
      </c>
      <c r="P137" s="556">
        <v>2194629</v>
      </c>
      <c r="Q137" s="396" t="s">
        <v>2867</v>
      </c>
      <c r="R137" s="396" t="s">
        <v>2860</v>
      </c>
      <c r="S137" s="432">
        <v>298.89999999999998</v>
      </c>
      <c r="T137" s="374"/>
      <c r="U137" s="461" t="s">
        <v>2071</v>
      </c>
      <c r="V137" s="461" t="s">
        <v>2071</v>
      </c>
      <c r="W137" s="461" t="s">
        <v>2071</v>
      </c>
      <c r="X137" s="382"/>
      <c r="Y137" s="382"/>
      <c r="Z137" s="461" t="s">
        <v>2071</v>
      </c>
      <c r="AA137" s="382"/>
      <c r="AB137" s="10" t="s">
        <v>3617</v>
      </c>
      <c r="AC137" s="10" t="s">
        <v>3618</v>
      </c>
      <c r="AD137" s="16" t="s">
        <v>3619</v>
      </c>
      <c r="AE137" s="92">
        <f t="shared" si="2"/>
        <v>738.17</v>
      </c>
      <c r="AF137" s="96" t="s">
        <v>3620</v>
      </c>
      <c r="AG137" s="91">
        <v>45975</v>
      </c>
      <c r="AH137" s="433"/>
    </row>
    <row r="138" spans="1:34">
      <c r="A138" s="780">
        <v>719</v>
      </c>
      <c r="B138" s="3" t="s">
        <v>308</v>
      </c>
      <c r="C138" s="3" t="s">
        <v>886</v>
      </c>
      <c r="D138" s="174" t="s">
        <v>2284</v>
      </c>
      <c r="E138" s="174" t="s">
        <v>2857</v>
      </c>
      <c r="F138" s="378">
        <v>45995</v>
      </c>
      <c r="G138" s="378">
        <v>47091</v>
      </c>
      <c r="H138" s="368" t="s">
        <v>3621</v>
      </c>
      <c r="I138" s="94" t="s">
        <v>2333</v>
      </c>
      <c r="J138" s="94" t="s">
        <v>1951</v>
      </c>
      <c r="K138" s="509">
        <v>450.25</v>
      </c>
      <c r="L138" s="407" t="s">
        <v>1954</v>
      </c>
      <c r="M138" s="154">
        <v>3249939</v>
      </c>
      <c r="N138" s="387">
        <v>45922</v>
      </c>
      <c r="O138" s="387">
        <v>46652</v>
      </c>
      <c r="P138" s="522" t="s">
        <v>3622</v>
      </c>
      <c r="Q138" s="154" t="s">
        <v>2876</v>
      </c>
      <c r="R138" s="154" t="s">
        <v>2860</v>
      </c>
      <c r="S138" s="446">
        <v>94.9</v>
      </c>
      <c r="T138" s="373"/>
      <c r="U138" s="184" t="s">
        <v>2071</v>
      </c>
      <c r="V138" s="184" t="s">
        <v>2071</v>
      </c>
      <c r="W138" s="184" t="s">
        <v>2071</v>
      </c>
      <c r="X138" s="349"/>
      <c r="Y138" s="349"/>
      <c r="Z138" s="349" t="s">
        <v>2071</v>
      </c>
      <c r="AA138" s="349"/>
      <c r="AB138" s="8" t="s">
        <v>3623</v>
      </c>
      <c r="AC138" s="8" t="s">
        <v>3624</v>
      </c>
      <c r="AD138" s="83" t="s">
        <v>2071</v>
      </c>
      <c r="AE138" s="67">
        <f t="shared" si="2"/>
        <v>545.15</v>
      </c>
      <c r="AF138" s="68" t="s">
        <v>3625</v>
      </c>
      <c r="AG138" s="78">
        <v>45995</v>
      </c>
      <c r="AH138" s="68"/>
    </row>
    <row r="139" spans="1:34">
      <c r="A139" s="774">
        <v>723</v>
      </c>
      <c r="B139" s="154" t="s">
        <v>58</v>
      </c>
      <c r="C139" s="17" t="s">
        <v>903</v>
      </c>
      <c r="D139" s="154" t="s">
        <v>2284</v>
      </c>
      <c r="E139" s="458" t="s">
        <v>2857</v>
      </c>
      <c r="F139" s="925">
        <v>45995</v>
      </c>
      <c r="G139" s="925">
        <v>47091</v>
      </c>
      <c r="H139" s="17" t="s">
        <v>3626</v>
      </c>
      <c r="I139" s="17" t="s">
        <v>2333</v>
      </c>
      <c r="J139" s="17" t="s">
        <v>1951</v>
      </c>
      <c r="K139" s="405">
        <v>439.27</v>
      </c>
      <c r="L139" s="3" t="s">
        <v>2285</v>
      </c>
      <c r="M139" s="576" t="s">
        <v>3627</v>
      </c>
      <c r="N139" s="578">
        <v>45882</v>
      </c>
      <c r="O139" s="578">
        <v>46978</v>
      </c>
      <c r="P139" s="576" t="s">
        <v>3628</v>
      </c>
      <c r="Q139" s="8" t="s">
        <v>3523</v>
      </c>
      <c r="R139" s="8" t="s">
        <v>2860</v>
      </c>
      <c r="S139" s="439">
        <v>455.99</v>
      </c>
      <c r="T139" s="822" t="s">
        <v>3629</v>
      </c>
      <c r="U139" s="382" t="s">
        <v>2934</v>
      </c>
      <c r="V139" s="464" t="s">
        <v>2010</v>
      </c>
      <c r="W139" s="7" t="s">
        <v>3630</v>
      </c>
      <c r="X139" s="373" t="s">
        <v>3631</v>
      </c>
      <c r="Y139" s="349" t="s">
        <v>3632</v>
      </c>
      <c r="Z139" s="373" t="s">
        <v>2071</v>
      </c>
      <c r="AA139" s="349"/>
      <c r="AB139" s="8" t="s">
        <v>3633</v>
      </c>
      <c r="AC139" s="8" t="s">
        <v>3634</v>
      </c>
      <c r="AD139" s="83" t="s">
        <v>3635</v>
      </c>
      <c r="AE139" s="67">
        <f t="shared" si="2"/>
        <v>914.47</v>
      </c>
      <c r="AF139" s="68" t="s">
        <v>3636</v>
      </c>
      <c r="AG139" s="78">
        <v>45995</v>
      </c>
      <c r="AH139" s="68"/>
    </row>
    <row r="140" spans="1:34">
      <c r="A140" s="319">
        <v>725</v>
      </c>
      <c r="B140" s="292" t="s">
        <v>251</v>
      </c>
      <c r="C140" s="939" t="s">
        <v>250</v>
      </c>
      <c r="D140" s="936" t="s">
        <v>1956</v>
      </c>
      <c r="E140" s="933" t="s">
        <v>3190</v>
      </c>
      <c r="F140" s="932">
        <v>45231</v>
      </c>
      <c r="G140" s="932">
        <v>46327</v>
      </c>
      <c r="H140" s="937">
        <v>9307744</v>
      </c>
      <c r="I140" s="934" t="s">
        <v>3086</v>
      </c>
      <c r="J140" s="941" t="s">
        <v>1951</v>
      </c>
      <c r="K140" s="493">
        <v>500.62</v>
      </c>
      <c r="L140" s="96" t="s">
        <v>2284</v>
      </c>
      <c r="M140" s="174" t="s">
        <v>2918</v>
      </c>
      <c r="N140" s="91">
        <v>45947</v>
      </c>
      <c r="O140" s="91">
        <v>47043</v>
      </c>
      <c r="P140" s="380" t="s">
        <v>3637</v>
      </c>
      <c r="Q140" s="10" t="s">
        <v>2859</v>
      </c>
      <c r="R140" s="16" t="s">
        <v>2860</v>
      </c>
      <c r="S140" s="560">
        <v>189.85</v>
      </c>
      <c r="T140" s="382"/>
      <c r="U140" s="184" t="s">
        <v>2071</v>
      </c>
      <c r="V140" s="184" t="s">
        <v>2071</v>
      </c>
      <c r="W140" s="184" t="s">
        <v>2071</v>
      </c>
      <c r="X140" s="382"/>
      <c r="Y140" s="382"/>
      <c r="Z140" s="349" t="s">
        <v>2071</v>
      </c>
      <c r="AA140" s="349"/>
      <c r="AB140" s="8" t="s">
        <v>3638</v>
      </c>
      <c r="AC140" s="8" t="s">
        <v>3639</v>
      </c>
      <c r="AD140" s="83" t="s">
        <v>2071</v>
      </c>
      <c r="AE140" s="67">
        <f t="shared" si="2"/>
        <v>690.47</v>
      </c>
      <c r="AF140" s="68" t="s">
        <v>3640</v>
      </c>
      <c r="AG140" s="78">
        <v>45947</v>
      </c>
      <c r="AH140" s="68"/>
    </row>
    <row r="141" spans="1:34">
      <c r="A141" s="320">
        <v>726</v>
      </c>
      <c r="B141" s="367" t="s">
        <v>58</v>
      </c>
      <c r="C141" s="376" t="s">
        <v>95</v>
      </c>
      <c r="D141" s="174" t="s">
        <v>2284</v>
      </c>
      <c r="E141" s="10" t="s">
        <v>2857</v>
      </c>
      <c r="F141" s="91">
        <v>45961</v>
      </c>
      <c r="G141" s="91">
        <v>47057</v>
      </c>
      <c r="H141" s="406" t="s">
        <v>3641</v>
      </c>
      <c r="I141" s="10" t="s">
        <v>2333</v>
      </c>
      <c r="J141" s="10" t="s">
        <v>1951</v>
      </c>
      <c r="K141" s="405">
        <v>439.27</v>
      </c>
      <c r="L141" s="504" t="s">
        <v>2287</v>
      </c>
      <c r="M141" s="400" t="s">
        <v>3642</v>
      </c>
      <c r="N141" s="401">
        <v>45572</v>
      </c>
      <c r="O141" s="401">
        <v>46302</v>
      </c>
      <c r="P141" s="451">
        <v>2194648</v>
      </c>
      <c r="Q141" s="400" t="s">
        <v>2867</v>
      </c>
      <c r="R141" s="400" t="s">
        <v>2860</v>
      </c>
      <c r="S141" s="446">
        <v>298.89999999999998</v>
      </c>
      <c r="T141" s="448"/>
      <c r="U141" s="449" t="s">
        <v>2071</v>
      </c>
      <c r="V141" s="449" t="s">
        <v>2071</v>
      </c>
      <c r="W141" s="449" t="s">
        <v>2071</v>
      </c>
      <c r="X141" s="438"/>
      <c r="Y141" s="438"/>
      <c r="Z141" s="449" t="s">
        <v>2071</v>
      </c>
      <c r="AA141" s="438"/>
      <c r="AB141" s="17" t="s">
        <v>3643</v>
      </c>
      <c r="AC141" s="17" t="s">
        <v>3644</v>
      </c>
      <c r="AD141" s="181" t="s">
        <v>3645</v>
      </c>
      <c r="AE141" s="85">
        <f t="shared" si="2"/>
        <v>738.17</v>
      </c>
      <c r="AF141" s="69" t="s">
        <v>3646</v>
      </c>
      <c r="AG141" s="84">
        <v>45961</v>
      </c>
      <c r="AH141" s="433"/>
    </row>
    <row r="142" spans="1:34">
      <c r="A142" s="780">
        <v>727</v>
      </c>
      <c r="B142" s="292" t="s">
        <v>459</v>
      </c>
      <c r="C142" s="83" t="s">
        <v>918</v>
      </c>
      <c r="D142" s="3" t="s">
        <v>2284</v>
      </c>
      <c r="E142" s="3" t="s">
        <v>2857</v>
      </c>
      <c r="F142" s="78">
        <v>46034</v>
      </c>
      <c r="G142" s="78">
        <v>47130</v>
      </c>
      <c r="H142" s="81" t="s">
        <v>3647</v>
      </c>
      <c r="I142" s="417" t="s">
        <v>2333</v>
      </c>
      <c r="J142" s="616" t="s">
        <v>1951</v>
      </c>
      <c r="K142" s="92">
        <v>453.09</v>
      </c>
      <c r="L142" s="8" t="s">
        <v>2297</v>
      </c>
      <c r="M142" s="218">
        <v>23348</v>
      </c>
      <c r="N142" s="78">
        <v>46118</v>
      </c>
      <c r="O142" s="78">
        <v>46849</v>
      </c>
      <c r="P142" s="7" t="s">
        <v>3648</v>
      </c>
      <c r="Q142" s="8" t="s">
        <v>2333</v>
      </c>
      <c r="R142" s="8" t="s">
        <v>1951</v>
      </c>
      <c r="S142" s="812">
        <v>357.24</v>
      </c>
      <c r="T142" s="822" t="s">
        <v>3649</v>
      </c>
      <c r="U142" s="382" t="s">
        <v>2934</v>
      </c>
      <c r="V142" s="382" t="s">
        <v>2370</v>
      </c>
      <c r="W142" s="8">
        <v>11935051629</v>
      </c>
      <c r="X142" s="349" t="s">
        <v>2880</v>
      </c>
      <c r="Y142" s="184">
        <v>0</v>
      </c>
      <c r="Z142" s="184" t="s">
        <v>2071</v>
      </c>
      <c r="AA142" s="184"/>
      <c r="AB142" s="8" t="s">
        <v>3650</v>
      </c>
      <c r="AC142" s="8" t="s">
        <v>3651</v>
      </c>
      <c r="AD142" s="8" t="s">
        <v>2071</v>
      </c>
      <c r="AE142" s="67">
        <f t="shared" si="2"/>
        <v>810.32999999999993</v>
      </c>
      <c r="AF142" s="8" t="s">
        <v>3652</v>
      </c>
      <c r="AG142" s="78">
        <v>46118</v>
      </c>
      <c r="AH142" s="8"/>
    </row>
    <row r="143" spans="1:34">
      <c r="A143" s="887">
        <v>729</v>
      </c>
      <c r="B143" s="681" t="s">
        <v>251</v>
      </c>
      <c r="C143" s="1076" t="s">
        <v>925</v>
      </c>
      <c r="D143" s="3" t="s">
        <v>2284</v>
      </c>
      <c r="E143" s="3" t="s">
        <v>2857</v>
      </c>
      <c r="F143" s="295">
        <v>46002</v>
      </c>
      <c r="G143" s="295">
        <v>47098</v>
      </c>
      <c r="H143" s="298" t="s">
        <v>3653</v>
      </c>
      <c r="I143" s="3" t="s">
        <v>2333</v>
      </c>
      <c r="J143" s="3" t="s">
        <v>1951</v>
      </c>
      <c r="K143" s="405">
        <v>439.27</v>
      </c>
      <c r="L143" s="707" t="s">
        <v>2285</v>
      </c>
      <c r="M143" s="793" t="s">
        <v>3654</v>
      </c>
      <c r="N143" s="794">
        <v>44967</v>
      </c>
      <c r="O143" s="621" t="s">
        <v>1968</v>
      </c>
      <c r="P143" s="793" t="s">
        <v>3655</v>
      </c>
      <c r="Q143" s="708" t="s">
        <v>3310</v>
      </c>
      <c r="R143" s="708" t="s">
        <v>1951</v>
      </c>
      <c r="S143" s="836">
        <v>743.05</v>
      </c>
      <c r="T143" s="467"/>
      <c r="U143" s="461" t="s">
        <v>2071</v>
      </c>
      <c r="V143" s="461" t="s">
        <v>2071</v>
      </c>
      <c r="W143" s="461" t="s">
        <v>2071</v>
      </c>
      <c r="X143" s="461"/>
      <c r="Y143" s="461"/>
      <c r="Z143" s="461" t="s">
        <v>2071</v>
      </c>
      <c r="AA143" s="461"/>
      <c r="AB143" s="390" t="s">
        <v>3656</v>
      </c>
      <c r="AC143" s="94" t="s">
        <v>3657</v>
      </c>
      <c r="AD143" s="376" t="s">
        <v>2071</v>
      </c>
      <c r="AE143" s="635">
        <f t="shared" si="2"/>
        <v>1182.32</v>
      </c>
      <c r="AF143" s="10" t="s">
        <v>3658</v>
      </c>
      <c r="AG143" s="91">
        <v>46002</v>
      </c>
      <c r="AH143" s="10"/>
    </row>
    <row r="144" spans="1:34">
      <c r="A144" s="775">
        <v>730</v>
      </c>
      <c r="B144" s="174" t="s">
        <v>50</v>
      </c>
      <c r="C144" s="174" t="s">
        <v>49</v>
      </c>
      <c r="D144" s="367" t="s">
        <v>2284</v>
      </c>
      <c r="E144" s="177" t="s">
        <v>2857</v>
      </c>
      <c r="F144" s="378">
        <v>46000</v>
      </c>
      <c r="G144" s="378">
        <v>47096</v>
      </c>
      <c r="H144" s="380" t="s">
        <v>3659</v>
      </c>
      <c r="I144" s="367" t="s">
        <v>2333</v>
      </c>
      <c r="J144" s="367" t="s">
        <v>1951</v>
      </c>
      <c r="K144" s="468">
        <v>433.98</v>
      </c>
      <c r="L144" s="3" t="s">
        <v>2285</v>
      </c>
      <c r="M144" s="81" t="s">
        <v>3660</v>
      </c>
      <c r="N144" s="592">
        <v>46009</v>
      </c>
      <c r="O144" s="592">
        <v>47105</v>
      </c>
      <c r="P144" s="81" t="s">
        <v>3660</v>
      </c>
      <c r="Q144" s="8" t="s">
        <v>2785</v>
      </c>
      <c r="R144" s="8" t="s">
        <v>1951</v>
      </c>
      <c r="S144" s="457">
        <v>430</v>
      </c>
      <c r="T144" s="448"/>
      <c r="U144" s="184" t="s">
        <v>2071</v>
      </c>
      <c r="V144" s="184" t="s">
        <v>2071</v>
      </c>
      <c r="W144" s="184" t="s">
        <v>2071</v>
      </c>
      <c r="X144" s="349"/>
      <c r="Y144" s="438"/>
      <c r="Z144" s="438" t="s">
        <v>2071</v>
      </c>
      <c r="AA144" s="438"/>
      <c r="AB144" s="68" t="s">
        <v>3661</v>
      </c>
      <c r="AC144" s="8" t="s">
        <v>3662</v>
      </c>
      <c r="AD144" s="83" t="s">
        <v>2071</v>
      </c>
      <c r="AE144" s="67">
        <f t="shared" si="2"/>
        <v>863.98</v>
      </c>
      <c r="AF144" s="96" t="s">
        <v>3663</v>
      </c>
      <c r="AG144" s="91">
        <v>46009</v>
      </c>
      <c r="AH144" s="96"/>
    </row>
    <row r="145" spans="1:34">
      <c r="A145" s="320">
        <v>731</v>
      </c>
      <c r="B145" s="367" t="s">
        <v>58</v>
      </c>
      <c r="C145" s="376" t="s">
        <v>95</v>
      </c>
      <c r="D145" s="154" t="s">
        <v>2284</v>
      </c>
      <c r="E145" s="154" t="s">
        <v>2857</v>
      </c>
      <c r="F145" s="84">
        <v>45982</v>
      </c>
      <c r="G145" s="387">
        <v>47078</v>
      </c>
      <c r="H145" s="388" t="s">
        <v>3664</v>
      </c>
      <c r="I145" s="154" t="s">
        <v>2333</v>
      </c>
      <c r="J145" s="154" t="s">
        <v>1951</v>
      </c>
      <c r="K145" s="405">
        <v>439.27</v>
      </c>
      <c r="L145" s="402" t="s">
        <v>2287</v>
      </c>
      <c r="M145" s="556">
        <v>2194271</v>
      </c>
      <c r="N145" s="397">
        <v>45595</v>
      </c>
      <c r="O145" s="397">
        <v>46325</v>
      </c>
      <c r="P145" s="556">
        <v>2194271</v>
      </c>
      <c r="Q145" s="396" t="s">
        <v>2859</v>
      </c>
      <c r="R145" s="396" t="s">
        <v>2860</v>
      </c>
      <c r="S145" s="432">
        <v>298.89999999999998</v>
      </c>
      <c r="T145" s="466"/>
      <c r="U145" s="449" t="s">
        <v>2071</v>
      </c>
      <c r="V145" s="449" t="s">
        <v>2071</v>
      </c>
      <c r="W145" s="449" t="s">
        <v>2071</v>
      </c>
      <c r="X145" s="22"/>
      <c r="Y145" s="449"/>
      <c r="Z145" s="449" t="s">
        <v>2071</v>
      </c>
      <c r="AA145" s="449"/>
      <c r="AB145" s="69" t="s">
        <v>3665</v>
      </c>
      <c r="AC145" s="17" t="s">
        <v>3666</v>
      </c>
      <c r="AD145" s="181" t="s">
        <v>3667</v>
      </c>
      <c r="AE145" s="85">
        <f t="shared" si="2"/>
        <v>738.17</v>
      </c>
      <c r="AF145" s="69" t="s">
        <v>3668</v>
      </c>
      <c r="AG145" s="78">
        <v>45982</v>
      </c>
      <c r="AH145" s="68"/>
    </row>
    <row r="146" spans="1:34">
      <c r="A146" s="780">
        <v>732</v>
      </c>
      <c r="B146" s="3" t="s">
        <v>112</v>
      </c>
      <c r="C146" s="8" t="s">
        <v>466</v>
      </c>
      <c r="D146" s="8" t="s">
        <v>2297</v>
      </c>
      <c r="E146" s="218">
        <v>23348</v>
      </c>
      <c r="F146" s="78">
        <v>46083</v>
      </c>
      <c r="G146" s="78">
        <v>46814</v>
      </c>
      <c r="H146" s="8" t="s">
        <v>3669</v>
      </c>
      <c r="I146" s="8" t="s">
        <v>2333</v>
      </c>
      <c r="J146" s="8" t="s">
        <v>1951</v>
      </c>
      <c r="K146" s="617">
        <v>357.24</v>
      </c>
      <c r="L146" s="217" t="s">
        <v>2284</v>
      </c>
      <c r="M146" s="3" t="s">
        <v>2918</v>
      </c>
      <c r="N146" s="78">
        <v>45951</v>
      </c>
      <c r="O146" s="89">
        <v>47047</v>
      </c>
      <c r="P146" s="7" t="s">
        <v>3670</v>
      </c>
      <c r="Q146" s="8" t="s">
        <v>3179</v>
      </c>
      <c r="R146" s="8" t="s">
        <v>2860</v>
      </c>
      <c r="S146" s="435">
        <v>234.99</v>
      </c>
      <c r="T146" s="381"/>
      <c r="U146" s="184" t="s">
        <v>2071</v>
      </c>
      <c r="V146" s="184" t="s">
        <v>2071</v>
      </c>
      <c r="W146" s="184" t="s">
        <v>2071</v>
      </c>
      <c r="X146" s="184"/>
      <c r="Y146" s="184"/>
      <c r="Z146" s="184" t="s">
        <v>2071</v>
      </c>
      <c r="AA146" s="184"/>
      <c r="AB146" s="8" t="s">
        <v>3671</v>
      </c>
      <c r="AC146" s="8" t="s">
        <v>3672</v>
      </c>
      <c r="AD146" s="8" t="s">
        <v>2071</v>
      </c>
      <c r="AE146" s="67">
        <f t="shared" si="2"/>
        <v>592.23</v>
      </c>
      <c r="AF146" s="8" t="s">
        <v>3673</v>
      </c>
      <c r="AG146" s="413">
        <v>46083</v>
      </c>
      <c r="AH146" s="68"/>
    </row>
    <row r="147" spans="1:34">
      <c r="A147" s="776">
        <v>733</v>
      </c>
      <c r="B147" s="367" t="s">
        <v>251</v>
      </c>
      <c r="C147" s="94" t="s">
        <v>946</v>
      </c>
      <c r="D147" s="367" t="s">
        <v>2284</v>
      </c>
      <c r="E147" s="367" t="s">
        <v>2857</v>
      </c>
      <c r="F147" s="237">
        <v>45982</v>
      </c>
      <c r="G147" s="378">
        <v>47078</v>
      </c>
      <c r="H147" s="380" t="s">
        <v>3674</v>
      </c>
      <c r="I147" s="367" t="s">
        <v>2333</v>
      </c>
      <c r="J147" s="367" t="s">
        <v>1951</v>
      </c>
      <c r="K147" s="405">
        <v>439.27</v>
      </c>
      <c r="L147" s="390" t="s">
        <v>1954</v>
      </c>
      <c r="M147" s="94">
        <v>2341178</v>
      </c>
      <c r="N147" s="237">
        <v>45778</v>
      </c>
      <c r="O147" s="237">
        <v>46508</v>
      </c>
      <c r="P147" s="94" t="s">
        <v>3675</v>
      </c>
      <c r="Q147" s="94" t="s">
        <v>2887</v>
      </c>
      <c r="R147" s="94" t="s">
        <v>2860</v>
      </c>
      <c r="S147" s="668">
        <v>144.09</v>
      </c>
      <c r="T147" s="374"/>
      <c r="U147" s="461" t="s">
        <v>2071</v>
      </c>
      <c r="V147" s="461" t="s">
        <v>2071</v>
      </c>
      <c r="W147" s="461" t="s">
        <v>2071</v>
      </c>
      <c r="X147" s="382"/>
      <c r="Y147" s="382"/>
      <c r="Z147" s="382" t="s">
        <v>2071</v>
      </c>
      <c r="AA147" s="382"/>
      <c r="AB147" s="96" t="s">
        <v>3676</v>
      </c>
      <c r="AC147" s="10" t="s">
        <v>3677</v>
      </c>
      <c r="AD147" s="16" t="s">
        <v>2071</v>
      </c>
      <c r="AE147" s="92">
        <f t="shared" si="2"/>
        <v>583.36</v>
      </c>
      <c r="AF147" s="96" t="s">
        <v>3678</v>
      </c>
      <c r="AG147" s="78">
        <v>45982</v>
      </c>
      <c r="AH147" s="69"/>
    </row>
    <row r="148" spans="1:34">
      <c r="A148" s="320">
        <v>737</v>
      </c>
      <c r="B148" s="367" t="s">
        <v>58</v>
      </c>
      <c r="C148" s="376" t="s">
        <v>958</v>
      </c>
      <c r="D148" s="367" t="s">
        <v>2284</v>
      </c>
      <c r="E148" s="367" t="s">
        <v>2857</v>
      </c>
      <c r="F148" s="237">
        <v>45982</v>
      </c>
      <c r="G148" s="378">
        <v>47078</v>
      </c>
      <c r="H148" s="380" t="s">
        <v>3679</v>
      </c>
      <c r="I148" s="367" t="s">
        <v>2333</v>
      </c>
      <c r="J148" s="367" t="s">
        <v>1951</v>
      </c>
      <c r="K148" s="405">
        <v>439.27</v>
      </c>
      <c r="L148" s="402" t="s">
        <v>2287</v>
      </c>
      <c r="M148" s="659" t="s">
        <v>3680</v>
      </c>
      <c r="N148" s="397">
        <v>45572</v>
      </c>
      <c r="O148" s="397">
        <v>46302</v>
      </c>
      <c r="P148" s="659">
        <v>2194651</v>
      </c>
      <c r="Q148" s="404" t="s">
        <v>2867</v>
      </c>
      <c r="R148" s="404" t="s">
        <v>2860</v>
      </c>
      <c r="S148" s="586">
        <v>303.63</v>
      </c>
      <c r="T148" s="448"/>
      <c r="U148" s="449" t="s">
        <v>2071</v>
      </c>
      <c r="V148" s="449" t="s">
        <v>2071</v>
      </c>
      <c r="W148" s="449" t="s">
        <v>2071</v>
      </c>
      <c r="X148" s="438"/>
      <c r="Y148" s="438"/>
      <c r="Z148" s="438" t="s">
        <v>2071</v>
      </c>
      <c r="AA148" s="438"/>
      <c r="AB148" s="69" t="s">
        <v>3681</v>
      </c>
      <c r="AC148" s="17" t="s">
        <v>3682</v>
      </c>
      <c r="AD148" s="181" t="s">
        <v>3683</v>
      </c>
      <c r="AE148" s="85">
        <f t="shared" si="2"/>
        <v>742.9</v>
      </c>
      <c r="AF148" s="69" t="s">
        <v>3684</v>
      </c>
      <c r="AG148" s="78">
        <v>45982</v>
      </c>
      <c r="AH148" s="96"/>
    </row>
    <row r="149" spans="1:34">
      <c r="A149" s="777">
        <v>741</v>
      </c>
      <c r="B149" s="839" t="s">
        <v>314</v>
      </c>
      <c r="C149" s="23" t="s">
        <v>309</v>
      </c>
      <c r="D149" s="23" t="s">
        <v>2289</v>
      </c>
      <c r="E149" s="23" t="s">
        <v>3327</v>
      </c>
      <c r="F149" s="697">
        <v>44029</v>
      </c>
      <c r="G149" s="680" t="s">
        <v>1968</v>
      </c>
      <c r="H149" s="698" t="s">
        <v>3685</v>
      </c>
      <c r="I149" s="23" t="s">
        <v>2333</v>
      </c>
      <c r="J149" s="23" t="s">
        <v>1951</v>
      </c>
      <c r="K149" s="836">
        <v>872.68</v>
      </c>
      <c r="L149" s="217" t="s">
        <v>2284</v>
      </c>
      <c r="M149" s="3" t="s">
        <v>2918</v>
      </c>
      <c r="N149" s="78">
        <v>45951</v>
      </c>
      <c r="O149" s="89">
        <v>47047</v>
      </c>
      <c r="P149" s="88" t="s">
        <v>3686</v>
      </c>
      <c r="Q149" s="390" t="s">
        <v>3179</v>
      </c>
      <c r="R149" s="390" t="s">
        <v>2860</v>
      </c>
      <c r="S149" s="434">
        <v>233.52</v>
      </c>
      <c r="T149" s="830" t="s">
        <v>3687</v>
      </c>
      <c r="U149" s="382" t="s">
        <v>2934</v>
      </c>
      <c r="V149" s="438" t="s">
        <v>2370</v>
      </c>
      <c r="W149" s="12" t="s">
        <v>3688</v>
      </c>
      <c r="X149" s="438" t="s">
        <v>2880</v>
      </c>
      <c r="Y149" s="449"/>
      <c r="Z149" s="449" t="s">
        <v>2071</v>
      </c>
      <c r="AA149" s="449"/>
      <c r="AB149" s="17" t="s">
        <v>3689</v>
      </c>
      <c r="AC149" s="17" t="s">
        <v>3690</v>
      </c>
      <c r="AD149" s="17" t="s">
        <v>2071</v>
      </c>
      <c r="AE149" s="85">
        <f t="shared" si="2"/>
        <v>1106.2</v>
      </c>
      <c r="AF149" s="17" t="s">
        <v>3691</v>
      </c>
      <c r="AG149" s="489">
        <v>45951</v>
      </c>
      <c r="AH149" s="69"/>
    </row>
    <row r="150" spans="1:34" ht="12.75" customHeight="1">
      <c r="A150" s="775">
        <v>742</v>
      </c>
      <c r="B150" s="385" t="s">
        <v>969</v>
      </c>
      <c r="C150" s="94" t="s">
        <v>965</v>
      </c>
      <c r="D150" s="656" t="s">
        <v>2284</v>
      </c>
      <c r="E150" s="367" t="s">
        <v>2857</v>
      </c>
      <c r="F150" s="237">
        <v>46031</v>
      </c>
      <c r="G150" s="237">
        <v>47127</v>
      </c>
      <c r="H150" s="380" t="s">
        <v>3692</v>
      </c>
      <c r="I150" s="455" t="s">
        <v>2333</v>
      </c>
      <c r="J150" s="455" t="s">
        <v>1951</v>
      </c>
      <c r="K150" s="468">
        <v>433.98</v>
      </c>
      <c r="L150" s="94" t="s">
        <v>1954</v>
      </c>
      <c r="M150" s="523">
        <v>2194188</v>
      </c>
      <c r="N150" s="91">
        <v>45778</v>
      </c>
      <c r="O150" s="91">
        <v>46508</v>
      </c>
      <c r="P150" s="10" t="s">
        <v>3693</v>
      </c>
      <c r="Q150" s="8" t="s">
        <v>2887</v>
      </c>
      <c r="R150" s="8" t="s">
        <v>2860</v>
      </c>
      <c r="S150" s="439">
        <v>144.09</v>
      </c>
      <c r="T150" s="381"/>
      <c r="U150" s="184" t="s">
        <v>2071</v>
      </c>
      <c r="V150" s="184" t="s">
        <v>2071</v>
      </c>
      <c r="W150" s="184" t="s">
        <v>2071</v>
      </c>
      <c r="X150" s="184"/>
      <c r="Y150" s="184"/>
      <c r="Z150" s="184" t="s">
        <v>2071</v>
      </c>
      <c r="AA150" s="184"/>
      <c r="AB150" s="8" t="s">
        <v>3694</v>
      </c>
      <c r="AC150" s="8" t="s">
        <v>3695</v>
      </c>
      <c r="AD150" s="8" t="s">
        <v>2071</v>
      </c>
      <c r="AE150" s="67">
        <f t="shared" si="2"/>
        <v>578.07000000000005</v>
      </c>
      <c r="AF150" s="8" t="s">
        <v>3696</v>
      </c>
      <c r="AG150" s="78">
        <v>46034</v>
      </c>
      <c r="AH150" s="17"/>
    </row>
    <row r="151" spans="1:34">
      <c r="A151" s="780">
        <v>745</v>
      </c>
      <c r="B151" s="174" t="s">
        <v>120</v>
      </c>
      <c r="C151" s="297" t="s">
        <v>679</v>
      </c>
      <c r="D151" s="174" t="s">
        <v>2284</v>
      </c>
      <c r="E151" s="174" t="s">
        <v>2857</v>
      </c>
      <c r="F151" s="347">
        <v>45975</v>
      </c>
      <c r="G151" s="91">
        <v>47071</v>
      </c>
      <c r="H151" s="348" t="s">
        <v>3697</v>
      </c>
      <c r="I151" s="174" t="s">
        <v>2333</v>
      </c>
      <c r="J151" s="174" t="s">
        <v>1951</v>
      </c>
      <c r="K151" s="439">
        <v>473.95</v>
      </c>
      <c r="L151" s="379" t="s">
        <v>1954</v>
      </c>
      <c r="M151" s="162">
        <v>22153440</v>
      </c>
      <c r="N151" s="347">
        <v>46192</v>
      </c>
      <c r="O151" s="91">
        <v>47288</v>
      </c>
      <c r="P151" s="368">
        <v>211600221282497</v>
      </c>
      <c r="Q151" s="10" t="s">
        <v>2333</v>
      </c>
      <c r="R151" s="385" t="s">
        <v>1951</v>
      </c>
      <c r="S151" s="478">
        <v>380</v>
      </c>
      <c r="T151" s="349"/>
      <c r="U151" s="184" t="s">
        <v>2071</v>
      </c>
      <c r="V151" s="464" t="s">
        <v>2071</v>
      </c>
      <c r="W151" s="184" t="s">
        <v>2071</v>
      </c>
      <c r="X151" s="349"/>
      <c r="Y151" s="349"/>
      <c r="Z151" s="349" t="s">
        <v>2071</v>
      </c>
      <c r="AA151" s="349"/>
      <c r="AB151" s="8" t="s">
        <v>3698</v>
      </c>
      <c r="AC151" s="8" t="s">
        <v>3699</v>
      </c>
      <c r="AD151" s="8" t="s">
        <v>2071</v>
      </c>
      <c r="AE151" s="67">
        <f t="shared" si="2"/>
        <v>853.95</v>
      </c>
      <c r="AF151" s="8" t="s">
        <v>3700</v>
      </c>
      <c r="AG151" s="485">
        <v>46192</v>
      </c>
      <c r="AH151" s="10"/>
    </row>
    <row r="152" spans="1:34">
      <c r="A152" s="1091">
        <v>747</v>
      </c>
      <c r="B152" s="1080" t="s">
        <v>58</v>
      </c>
      <c r="C152" s="1095" t="s">
        <v>166</v>
      </c>
      <c r="D152" s="3" t="s">
        <v>2284</v>
      </c>
      <c r="E152" s="3" t="s">
        <v>2857</v>
      </c>
      <c r="F152" s="78">
        <v>45994</v>
      </c>
      <c r="G152" s="78">
        <v>47090</v>
      </c>
      <c r="H152" s="81" t="s">
        <v>3701</v>
      </c>
      <c r="I152" s="8" t="s">
        <v>2333</v>
      </c>
      <c r="J152" s="8" t="s">
        <v>1951</v>
      </c>
      <c r="K152" s="405">
        <v>439.27</v>
      </c>
      <c r="L152" s="44" t="s">
        <v>1954</v>
      </c>
      <c r="M152" s="35">
        <v>2341178</v>
      </c>
      <c r="N152" s="43">
        <v>45268</v>
      </c>
      <c r="O152" s="43">
        <v>46729</v>
      </c>
      <c r="P152" s="35" t="s">
        <v>3702</v>
      </c>
      <c r="Q152" s="35" t="s">
        <v>3388</v>
      </c>
      <c r="R152" s="35" t="s">
        <v>2860</v>
      </c>
      <c r="S152" s="672">
        <v>326.33</v>
      </c>
      <c r="T152" s="381"/>
      <c r="U152" s="184" t="s">
        <v>2071</v>
      </c>
      <c r="V152" s="184" t="s">
        <v>2071</v>
      </c>
      <c r="W152" s="461" t="s">
        <v>2071</v>
      </c>
      <c r="X152" s="461"/>
      <c r="Y152" s="461"/>
      <c r="Z152" s="461" t="s">
        <v>2071</v>
      </c>
      <c r="AA152" s="461"/>
      <c r="AB152" s="96" t="s">
        <v>3703</v>
      </c>
      <c r="AC152" s="10" t="s">
        <v>3704</v>
      </c>
      <c r="AD152" s="16" t="s">
        <v>2071</v>
      </c>
      <c r="AE152" s="92">
        <f t="shared" si="2"/>
        <v>765.59999999999991</v>
      </c>
      <c r="AF152" s="96" t="s">
        <v>3705</v>
      </c>
      <c r="AG152" s="78">
        <v>45994</v>
      </c>
      <c r="AH152" s="96"/>
    </row>
    <row r="153" spans="1:34">
      <c r="A153" s="784">
        <v>751</v>
      </c>
      <c r="B153" s="3" t="s">
        <v>129</v>
      </c>
      <c r="C153" s="8" t="s">
        <v>128</v>
      </c>
      <c r="D153" s="10" t="s">
        <v>2285</v>
      </c>
      <c r="E153" s="673" t="s">
        <v>3706</v>
      </c>
      <c r="F153" s="669">
        <v>46009</v>
      </c>
      <c r="G153" s="397">
        <v>47105</v>
      </c>
      <c r="H153" s="673" t="s">
        <v>3706</v>
      </c>
      <c r="I153" s="94" t="s">
        <v>2785</v>
      </c>
      <c r="J153" s="94" t="s">
        <v>1951</v>
      </c>
      <c r="K153" s="555">
        <v>430</v>
      </c>
      <c r="L153" s="8" t="s">
        <v>1954</v>
      </c>
      <c r="M153" s="407">
        <v>3249939</v>
      </c>
      <c r="N153" s="84">
        <v>45926</v>
      </c>
      <c r="O153" s="84">
        <v>46656</v>
      </c>
      <c r="P153" s="12" t="s">
        <v>3707</v>
      </c>
      <c r="Q153" s="154" t="s">
        <v>3179</v>
      </c>
      <c r="R153" s="154" t="s">
        <v>2860</v>
      </c>
      <c r="S153" s="446">
        <v>94.9</v>
      </c>
      <c r="T153" s="373"/>
      <c r="U153" s="184" t="s">
        <v>2071</v>
      </c>
      <c r="V153" s="184" t="s">
        <v>2071</v>
      </c>
      <c r="W153" s="184" t="s">
        <v>2071</v>
      </c>
      <c r="X153" s="349"/>
      <c r="Y153" s="349"/>
      <c r="Z153" s="349" t="s">
        <v>2071</v>
      </c>
      <c r="AA153" s="349"/>
      <c r="AB153" s="68" t="s">
        <v>3708</v>
      </c>
      <c r="AC153" s="8" t="s">
        <v>3709</v>
      </c>
      <c r="AD153" s="83" t="s">
        <v>2071</v>
      </c>
      <c r="AE153" s="67">
        <f t="shared" si="2"/>
        <v>524.9</v>
      </c>
      <c r="AF153" s="68" t="s">
        <v>3710</v>
      </c>
      <c r="AG153" s="78">
        <v>46009</v>
      </c>
      <c r="AH153" s="68"/>
    </row>
    <row r="154" spans="1:34">
      <c r="A154" s="782">
        <v>752</v>
      </c>
      <c r="B154" s="154" t="s">
        <v>129</v>
      </c>
      <c r="C154" s="17" t="s">
        <v>128</v>
      </c>
      <c r="D154" s="69" t="s">
        <v>2284</v>
      </c>
      <c r="E154" s="458" t="s">
        <v>2857</v>
      </c>
      <c r="F154" s="84">
        <v>46059</v>
      </c>
      <c r="G154" s="84">
        <v>47155</v>
      </c>
      <c r="H154" s="966" t="s">
        <v>3711</v>
      </c>
      <c r="I154" s="17" t="s">
        <v>2333</v>
      </c>
      <c r="J154" s="17" t="s">
        <v>1951</v>
      </c>
      <c r="K154" s="509">
        <v>450.25</v>
      </c>
      <c r="L154" s="390" t="s">
        <v>2297</v>
      </c>
      <c r="M154" s="550">
        <v>23348</v>
      </c>
      <c r="N154" s="401">
        <v>46091</v>
      </c>
      <c r="O154" s="639">
        <v>46822</v>
      </c>
      <c r="P154" s="12" t="s">
        <v>3712</v>
      </c>
      <c r="Q154" s="69" t="s">
        <v>3143</v>
      </c>
      <c r="R154" s="17" t="s">
        <v>2860</v>
      </c>
      <c r="S154" s="593">
        <v>249.55</v>
      </c>
      <c r="T154" s="373"/>
      <c r="U154" s="184" t="s">
        <v>2071</v>
      </c>
      <c r="V154" s="184" t="s">
        <v>2071</v>
      </c>
      <c r="W154" s="184" t="s">
        <v>2071</v>
      </c>
      <c r="X154" s="349"/>
      <c r="Y154" s="349"/>
      <c r="Z154" s="349" t="s">
        <v>2071</v>
      </c>
      <c r="AA154" s="349"/>
      <c r="AB154" s="68" t="s">
        <v>3713</v>
      </c>
      <c r="AC154" s="8" t="s">
        <v>3714</v>
      </c>
      <c r="AD154" s="83" t="s">
        <v>2071</v>
      </c>
      <c r="AE154" s="67">
        <f t="shared" si="2"/>
        <v>699.8</v>
      </c>
      <c r="AF154" s="68" t="s">
        <v>3715</v>
      </c>
      <c r="AG154" s="78">
        <v>46091</v>
      </c>
      <c r="AH154" s="69"/>
    </row>
    <row r="155" spans="1:34">
      <c r="A155" s="778">
        <v>754</v>
      </c>
      <c r="B155" s="3" t="s">
        <v>969</v>
      </c>
      <c r="C155" s="3" t="s">
        <v>996</v>
      </c>
      <c r="D155" s="3" t="s">
        <v>2284</v>
      </c>
      <c r="E155" s="8" t="s">
        <v>2857</v>
      </c>
      <c r="F155" s="295">
        <v>45992</v>
      </c>
      <c r="G155" s="78">
        <v>47088</v>
      </c>
      <c r="H155" s="8" t="s">
        <v>3716</v>
      </c>
      <c r="I155" s="3" t="s">
        <v>1964</v>
      </c>
      <c r="J155" s="3" t="s">
        <v>1951</v>
      </c>
      <c r="K155" s="439">
        <v>433.98</v>
      </c>
      <c r="L155" s="217" t="s">
        <v>1954</v>
      </c>
      <c r="M155" s="8">
        <v>22153440</v>
      </c>
      <c r="N155" s="295">
        <v>46174</v>
      </c>
      <c r="O155" s="89">
        <v>47270</v>
      </c>
      <c r="P155" s="958" t="s">
        <v>3717</v>
      </c>
      <c r="Q155" s="3" t="s">
        <v>2333</v>
      </c>
      <c r="R155" s="3" t="s">
        <v>1951</v>
      </c>
      <c r="S155" s="439">
        <v>380</v>
      </c>
      <c r="T155" s="569"/>
      <c r="U155" s="184" t="s">
        <v>2071</v>
      </c>
      <c r="V155" s="184" t="s">
        <v>2071</v>
      </c>
      <c r="W155" s="184" t="s">
        <v>2071</v>
      </c>
      <c r="X155" s="349"/>
      <c r="Y155" s="349"/>
      <c r="Z155" s="349" t="s">
        <v>2071</v>
      </c>
      <c r="AA155" s="349"/>
      <c r="AB155" s="68" t="s">
        <v>3718</v>
      </c>
      <c r="AC155" s="8" t="s">
        <v>3719</v>
      </c>
      <c r="AD155" s="83" t="s">
        <v>2071</v>
      </c>
      <c r="AE155" s="67">
        <f t="shared" si="2"/>
        <v>813.98</v>
      </c>
      <c r="AF155" s="68" t="s">
        <v>3720</v>
      </c>
      <c r="AG155" s="89">
        <v>46174</v>
      </c>
      <c r="AH155" s="8"/>
    </row>
    <row r="156" spans="1:34">
      <c r="A156" s="780">
        <v>756</v>
      </c>
      <c r="B156" s="367" t="s">
        <v>120</v>
      </c>
      <c r="C156" s="376" t="s">
        <v>997</v>
      </c>
      <c r="D156" s="10" t="s">
        <v>2285</v>
      </c>
      <c r="E156" s="967" t="s">
        <v>3721</v>
      </c>
      <c r="F156" s="970">
        <v>45512</v>
      </c>
      <c r="G156" s="970">
        <v>46607</v>
      </c>
      <c r="H156" s="971" t="s">
        <v>3722</v>
      </c>
      <c r="I156" s="10" t="s">
        <v>2785</v>
      </c>
      <c r="J156" s="10" t="s">
        <v>1951</v>
      </c>
      <c r="K156" s="571">
        <v>430</v>
      </c>
      <c r="L156" s="390" t="s">
        <v>2297</v>
      </c>
      <c r="M156" s="412">
        <v>23348</v>
      </c>
      <c r="N156" s="91">
        <v>46059</v>
      </c>
      <c r="O156" s="97">
        <v>46789</v>
      </c>
      <c r="P156" s="11" t="s">
        <v>3723</v>
      </c>
      <c r="Q156" s="96" t="s">
        <v>3143</v>
      </c>
      <c r="R156" s="10" t="s">
        <v>2860</v>
      </c>
      <c r="S156" s="827">
        <v>304.57</v>
      </c>
      <c r="T156" s="838"/>
      <c r="U156" s="349"/>
      <c r="V156" s="377"/>
      <c r="W156" s="7"/>
      <c r="X156" s="373"/>
      <c r="Y156" s="349"/>
      <c r="Z156" s="349"/>
      <c r="AA156" s="349"/>
      <c r="AB156" s="68" t="s">
        <v>3724</v>
      </c>
      <c r="AC156" s="8" t="s">
        <v>3725</v>
      </c>
      <c r="AD156" s="83" t="s">
        <v>2071</v>
      </c>
      <c r="AE156" s="67">
        <f t="shared" si="2"/>
        <v>734.56999999999994</v>
      </c>
      <c r="AF156" s="68" t="s">
        <v>3726</v>
      </c>
      <c r="AG156" s="78">
        <v>46059</v>
      </c>
      <c r="AH156" s="390"/>
    </row>
    <row r="157" spans="1:34">
      <c r="A157" s="782">
        <v>764</v>
      </c>
      <c r="B157" s="3" t="s">
        <v>159</v>
      </c>
      <c r="C157" s="8" t="s">
        <v>158</v>
      </c>
      <c r="D157" s="10" t="s">
        <v>2285</v>
      </c>
      <c r="E157" s="369" t="s">
        <v>3727</v>
      </c>
      <c r="F157" s="761">
        <v>46009</v>
      </c>
      <c r="G157" s="397">
        <v>47105</v>
      </c>
      <c r="H157" s="396" t="s">
        <v>3727</v>
      </c>
      <c r="I157" s="94" t="s">
        <v>2785</v>
      </c>
      <c r="J157" s="94" t="s">
        <v>1951</v>
      </c>
      <c r="K157" s="473">
        <v>430</v>
      </c>
      <c r="L157" s="8" t="s">
        <v>2284</v>
      </c>
      <c r="M157" s="3" t="s">
        <v>3042</v>
      </c>
      <c r="N157" s="645">
        <v>46210</v>
      </c>
      <c r="O157" s="237">
        <v>47306</v>
      </c>
      <c r="P157" s="380" t="s">
        <v>3728</v>
      </c>
      <c r="Q157" s="68" t="s">
        <v>2333</v>
      </c>
      <c r="R157" s="376" t="s">
        <v>1951</v>
      </c>
      <c r="S157" s="588">
        <v>408.34</v>
      </c>
      <c r="T157" s="349"/>
      <c r="U157" s="184" t="s">
        <v>2071</v>
      </c>
      <c r="V157" s="184" t="s">
        <v>2071</v>
      </c>
      <c r="W157" s="184" t="s">
        <v>2071</v>
      </c>
      <c r="X157" s="349"/>
      <c r="Y157" s="349"/>
      <c r="Z157" s="349" t="s">
        <v>2071</v>
      </c>
      <c r="AA157" s="349"/>
      <c r="AB157" s="68" t="s">
        <v>3729</v>
      </c>
      <c r="AC157" s="8" t="s">
        <v>3730</v>
      </c>
      <c r="AD157" s="83" t="s">
        <v>2071</v>
      </c>
      <c r="AE157" s="67">
        <f t="shared" si="2"/>
        <v>838.33999999999992</v>
      </c>
      <c r="AF157" s="68" t="s">
        <v>3731</v>
      </c>
      <c r="AG157" s="78">
        <v>46224</v>
      </c>
      <c r="AH157" s="480"/>
    </row>
    <row r="158" spans="1:34">
      <c r="A158" s="777">
        <v>768</v>
      </c>
      <c r="B158" s="174" t="s">
        <v>58</v>
      </c>
      <c r="C158" s="10" t="s">
        <v>1020</v>
      </c>
      <c r="D158" s="10" t="s">
        <v>2285</v>
      </c>
      <c r="E158" s="510" t="s">
        <v>3732</v>
      </c>
      <c r="F158" s="647">
        <v>46009</v>
      </c>
      <c r="G158" s="444">
        <v>47105</v>
      </c>
      <c r="H158" s="510" t="s">
        <v>3732</v>
      </c>
      <c r="I158" s="10" t="s">
        <v>2785</v>
      </c>
      <c r="J158" s="10" t="s">
        <v>1951</v>
      </c>
      <c r="K158" s="92">
        <v>430</v>
      </c>
      <c r="L158" s="38" t="s">
        <v>1950</v>
      </c>
      <c r="M158" s="62" t="s">
        <v>3393</v>
      </c>
      <c r="N158" s="58">
        <v>44772</v>
      </c>
      <c r="O158" s="871" t="s">
        <v>1968</v>
      </c>
      <c r="P158" s="49" t="s">
        <v>3733</v>
      </c>
      <c r="Q158" s="48" t="s">
        <v>3310</v>
      </c>
      <c r="R158" s="47" t="s">
        <v>1951</v>
      </c>
      <c r="S158" s="426">
        <v>468.86</v>
      </c>
      <c r="T158" s="349"/>
      <c r="U158" s="184" t="s">
        <v>2071</v>
      </c>
      <c r="V158" s="184" t="s">
        <v>2071</v>
      </c>
      <c r="W158" s="184" t="s">
        <v>2071</v>
      </c>
      <c r="X158" s="349"/>
      <c r="Y158" s="349"/>
      <c r="Z158" s="349" t="s">
        <v>2071</v>
      </c>
      <c r="AA158" s="349"/>
      <c r="AB158" s="68" t="s">
        <v>3734</v>
      </c>
      <c r="AC158" s="8" t="s">
        <v>3735</v>
      </c>
      <c r="AD158" s="83" t="s">
        <v>2071</v>
      </c>
      <c r="AE158" s="67">
        <f t="shared" si="2"/>
        <v>898.86</v>
      </c>
      <c r="AF158" s="68" t="s">
        <v>3736</v>
      </c>
      <c r="AG158" s="78">
        <v>46009</v>
      </c>
      <c r="AH158" s="96"/>
    </row>
    <row r="159" spans="1:34">
      <c r="A159" s="776">
        <v>770</v>
      </c>
      <c r="B159" s="367" t="s">
        <v>58</v>
      </c>
      <c r="C159" s="94" t="s">
        <v>1021</v>
      </c>
      <c r="D159" s="94" t="s">
        <v>2284</v>
      </c>
      <c r="E159" s="154" t="s">
        <v>2857</v>
      </c>
      <c r="F159" s="237">
        <v>45951</v>
      </c>
      <c r="G159" s="237">
        <v>47047</v>
      </c>
      <c r="H159" s="380" t="s">
        <v>3737</v>
      </c>
      <c r="I159" s="94" t="s">
        <v>3179</v>
      </c>
      <c r="J159" s="94" t="s">
        <v>2860</v>
      </c>
      <c r="K159" s="668">
        <v>227.82</v>
      </c>
      <c r="L159" s="379" t="s">
        <v>1954</v>
      </c>
      <c r="M159" s="407">
        <v>3249939</v>
      </c>
      <c r="N159" s="387">
        <v>45922</v>
      </c>
      <c r="O159" s="387">
        <v>46652</v>
      </c>
      <c r="P159" s="522" t="s">
        <v>3738</v>
      </c>
      <c r="Q159" s="154" t="s">
        <v>3179</v>
      </c>
      <c r="R159" s="154" t="s">
        <v>2860</v>
      </c>
      <c r="S159" s="446">
        <v>94.9</v>
      </c>
      <c r="T159" s="190"/>
      <c r="U159" s="34" t="s">
        <v>2071</v>
      </c>
      <c r="V159" s="34" t="s">
        <v>2071</v>
      </c>
      <c r="W159" s="34" t="s">
        <v>2071</v>
      </c>
      <c r="X159" s="190"/>
      <c r="Y159" s="57"/>
      <c r="Z159" s="57"/>
      <c r="AA159" s="57"/>
      <c r="AB159" s="24" t="s">
        <v>3739</v>
      </c>
      <c r="AC159" s="24" t="s">
        <v>3740</v>
      </c>
      <c r="AD159" s="26" t="s">
        <v>3741</v>
      </c>
      <c r="AE159" s="317">
        <f t="shared" si="2"/>
        <v>322.72000000000003</v>
      </c>
      <c r="AF159" s="31" t="s">
        <v>3742</v>
      </c>
      <c r="AG159" s="27">
        <v>45813</v>
      </c>
      <c r="AH159" s="64"/>
    </row>
    <row r="160" spans="1:34">
      <c r="A160" s="777">
        <v>771</v>
      </c>
      <c r="B160" s="3" t="s">
        <v>251</v>
      </c>
      <c r="C160" s="292" t="s">
        <v>1031</v>
      </c>
      <c r="D160" s="3" t="s">
        <v>2284</v>
      </c>
      <c r="E160" s="3" t="s">
        <v>2857</v>
      </c>
      <c r="F160" s="78">
        <v>45982</v>
      </c>
      <c r="G160" s="295">
        <v>47078</v>
      </c>
      <c r="H160" s="8" t="s">
        <v>3743</v>
      </c>
      <c r="I160" s="3" t="s">
        <v>2333</v>
      </c>
      <c r="J160" s="3" t="s">
        <v>1951</v>
      </c>
      <c r="K160" s="405">
        <v>439.27</v>
      </c>
      <c r="L160" s="877" t="s">
        <v>1954</v>
      </c>
      <c r="M160" s="700">
        <v>2341178</v>
      </c>
      <c r="N160" s="878">
        <v>45005</v>
      </c>
      <c r="O160" s="872" t="s">
        <v>2978</v>
      </c>
      <c r="P160" s="1086" t="s">
        <v>3744</v>
      </c>
      <c r="Q160" s="700" t="s">
        <v>3504</v>
      </c>
      <c r="R160" s="700" t="s">
        <v>1951</v>
      </c>
      <c r="S160" s="879">
        <v>848.36</v>
      </c>
      <c r="T160" s="373"/>
      <c r="U160" s="184" t="s">
        <v>2071</v>
      </c>
      <c r="V160" s="184" t="s">
        <v>2071</v>
      </c>
      <c r="W160" s="184" t="s">
        <v>2071</v>
      </c>
      <c r="X160" s="349"/>
      <c r="Y160" s="349"/>
      <c r="Z160" s="349" t="s">
        <v>2071</v>
      </c>
      <c r="AA160" s="349"/>
      <c r="AB160" s="68" t="s">
        <v>3745</v>
      </c>
      <c r="AC160" s="8" t="s">
        <v>3746</v>
      </c>
      <c r="AD160" s="83" t="s">
        <v>2071</v>
      </c>
      <c r="AE160" s="67">
        <f t="shared" si="2"/>
        <v>1287.6300000000001</v>
      </c>
      <c r="AF160" s="68" t="s">
        <v>3747</v>
      </c>
      <c r="AG160" s="78">
        <v>45982</v>
      </c>
      <c r="AH160" s="65"/>
    </row>
    <row r="161" spans="1:34">
      <c r="A161" s="776">
        <v>774</v>
      </c>
      <c r="B161" s="385" t="s">
        <v>459</v>
      </c>
      <c r="C161" s="94" t="s">
        <v>458</v>
      </c>
      <c r="D161" s="177" t="s">
        <v>2284</v>
      </c>
      <c r="E161" s="385" t="s">
        <v>2857</v>
      </c>
      <c r="F161" s="237">
        <v>45968</v>
      </c>
      <c r="G161" s="237">
        <v>47064</v>
      </c>
      <c r="H161" s="380" t="s">
        <v>3748</v>
      </c>
      <c r="I161" s="94" t="s">
        <v>2333</v>
      </c>
      <c r="J161" s="94" t="s">
        <v>1951</v>
      </c>
      <c r="K161" s="92">
        <v>453.09</v>
      </c>
      <c r="L161" s="154" t="s">
        <v>2286</v>
      </c>
      <c r="M161" s="154" t="s">
        <v>2865</v>
      </c>
      <c r="N161" s="84">
        <v>45925</v>
      </c>
      <c r="O161" s="84">
        <v>47021</v>
      </c>
      <c r="P161" s="388">
        <v>71000360</v>
      </c>
      <c r="Q161" s="17" t="s">
        <v>2785</v>
      </c>
      <c r="R161" s="154" t="s">
        <v>2866</v>
      </c>
      <c r="S161" s="443">
        <v>385</v>
      </c>
      <c r="T161" s="373"/>
      <c r="U161" s="184" t="s">
        <v>2071</v>
      </c>
      <c r="V161" s="184" t="s">
        <v>2071</v>
      </c>
      <c r="W161" s="449" t="s">
        <v>2071</v>
      </c>
      <c r="X161" s="438"/>
      <c r="Y161" s="438"/>
      <c r="Z161" s="438" t="s">
        <v>2071</v>
      </c>
      <c r="AA161" s="438"/>
      <c r="AB161" s="69" t="s">
        <v>3749</v>
      </c>
      <c r="AC161" s="17" t="s">
        <v>3750</v>
      </c>
      <c r="AD161" s="181" t="s">
        <v>2071</v>
      </c>
      <c r="AE161" s="85">
        <f t="shared" si="2"/>
        <v>838.08999999999992</v>
      </c>
      <c r="AF161" s="69" t="s">
        <v>3751</v>
      </c>
      <c r="AG161" s="84">
        <v>45968</v>
      </c>
      <c r="AH161" s="480"/>
    </row>
    <row r="162" spans="1:34">
      <c r="A162" s="780">
        <v>778</v>
      </c>
      <c r="B162" s="3" t="s">
        <v>263</v>
      </c>
      <c r="C162" s="8" t="s">
        <v>1044</v>
      </c>
      <c r="D162" s="3" t="s">
        <v>2284</v>
      </c>
      <c r="E162" s="292" t="s">
        <v>2857</v>
      </c>
      <c r="F162" s="295">
        <v>46008</v>
      </c>
      <c r="G162" s="78">
        <v>47104</v>
      </c>
      <c r="H162" s="388" t="s">
        <v>3752</v>
      </c>
      <c r="I162" s="154" t="s">
        <v>2333</v>
      </c>
      <c r="J162" s="17" t="s">
        <v>1951</v>
      </c>
      <c r="K162" s="514">
        <v>447.46</v>
      </c>
      <c r="L162" s="3" t="s">
        <v>2285</v>
      </c>
      <c r="M162" s="400" t="s">
        <v>3753</v>
      </c>
      <c r="N162" s="401">
        <v>45941</v>
      </c>
      <c r="O162" s="401">
        <v>47037</v>
      </c>
      <c r="P162" s="400" t="s">
        <v>3754</v>
      </c>
      <c r="Q162" s="17" t="s">
        <v>3310</v>
      </c>
      <c r="R162" s="17" t="s">
        <v>1951</v>
      </c>
      <c r="S162" s="593">
        <v>823.33</v>
      </c>
      <c r="T162" s="373"/>
      <c r="U162" s="184" t="s">
        <v>2071</v>
      </c>
      <c r="V162" s="464" t="s">
        <v>2071</v>
      </c>
      <c r="W162" s="184" t="s">
        <v>2071</v>
      </c>
      <c r="X162" s="349"/>
      <c r="Y162" s="349"/>
      <c r="Z162" s="349" t="s">
        <v>2071</v>
      </c>
      <c r="AA162" s="349"/>
      <c r="AB162" s="8" t="s">
        <v>3755</v>
      </c>
      <c r="AC162" s="8" t="s">
        <v>3756</v>
      </c>
      <c r="AD162" s="8" t="s">
        <v>2071</v>
      </c>
      <c r="AE162" s="67">
        <f t="shared" si="2"/>
        <v>1270.79</v>
      </c>
      <c r="AF162" s="8" t="s">
        <v>3757</v>
      </c>
      <c r="AG162" s="78">
        <v>46008</v>
      </c>
      <c r="AH162" s="7"/>
    </row>
    <row r="163" spans="1:34">
      <c r="A163" s="775">
        <v>780</v>
      </c>
      <c r="B163" s="367" t="s">
        <v>58</v>
      </c>
      <c r="C163" s="396" t="s">
        <v>1020</v>
      </c>
      <c r="D163" s="367" t="s">
        <v>2284</v>
      </c>
      <c r="E163" s="367" t="s">
        <v>2857</v>
      </c>
      <c r="F163" s="378">
        <v>45975</v>
      </c>
      <c r="G163" s="391">
        <v>47071</v>
      </c>
      <c r="H163" s="882" t="s">
        <v>3758</v>
      </c>
      <c r="I163" s="154" t="s">
        <v>2333</v>
      </c>
      <c r="J163" s="400" t="s">
        <v>1951</v>
      </c>
      <c r="K163" s="405">
        <v>439.27</v>
      </c>
      <c r="L163" s="400" t="s">
        <v>2287</v>
      </c>
      <c r="M163" s="451">
        <v>2194168</v>
      </c>
      <c r="N163" s="424">
        <v>46077</v>
      </c>
      <c r="O163" s="424">
        <v>46807</v>
      </c>
      <c r="P163" s="882">
        <v>2194168</v>
      </c>
      <c r="Q163" s="420" t="s">
        <v>3233</v>
      </c>
      <c r="R163" s="420" t="s">
        <v>2860</v>
      </c>
      <c r="S163" s="955">
        <v>280</v>
      </c>
      <c r="T163" s="373"/>
      <c r="U163" s="184" t="s">
        <v>2071</v>
      </c>
      <c r="V163" s="464" t="s">
        <v>2071</v>
      </c>
      <c r="W163" s="461" t="s">
        <v>2071</v>
      </c>
      <c r="X163" s="382"/>
      <c r="Y163" s="382"/>
      <c r="Z163" s="382" t="s">
        <v>2071</v>
      </c>
      <c r="AA163" s="382"/>
      <c r="AB163" s="10" t="s">
        <v>3759</v>
      </c>
      <c r="AC163" s="10" t="s">
        <v>3760</v>
      </c>
      <c r="AD163" s="10" t="s">
        <v>3761</v>
      </c>
      <c r="AE163" s="92">
        <f t="shared" si="2"/>
        <v>719.27</v>
      </c>
      <c r="AF163" s="10" t="s">
        <v>3762</v>
      </c>
      <c r="AG163" s="78">
        <v>46077</v>
      </c>
      <c r="AH163" s="63"/>
    </row>
    <row r="164" spans="1:34">
      <c r="A164" s="778">
        <v>783</v>
      </c>
      <c r="B164" s="3" t="s">
        <v>77</v>
      </c>
      <c r="C164" s="8" t="s">
        <v>2891</v>
      </c>
      <c r="D164" s="3" t="s">
        <v>2284</v>
      </c>
      <c r="E164" s="3" t="s">
        <v>2857</v>
      </c>
      <c r="F164" s="415">
        <v>45967</v>
      </c>
      <c r="G164" s="415">
        <v>47063</v>
      </c>
      <c r="H164" s="81" t="s">
        <v>3763</v>
      </c>
      <c r="I164" s="8" t="s">
        <v>2333</v>
      </c>
      <c r="J164" s="8" t="s">
        <v>1951</v>
      </c>
      <c r="K164" s="439">
        <v>467.8</v>
      </c>
      <c r="L164" s="68" t="s">
        <v>1954</v>
      </c>
      <c r="M164" s="8">
        <v>22153440</v>
      </c>
      <c r="N164" s="78">
        <v>46174</v>
      </c>
      <c r="O164" s="89">
        <v>47270</v>
      </c>
      <c r="P164" s="81">
        <v>980000221268792</v>
      </c>
      <c r="Q164" s="3" t="s">
        <v>1964</v>
      </c>
      <c r="R164" s="3" t="s">
        <v>1951</v>
      </c>
      <c r="S164" s="617">
        <v>380</v>
      </c>
      <c r="T164" s="448"/>
      <c r="U164" s="449" t="s">
        <v>2071</v>
      </c>
      <c r="V164" s="622" t="s">
        <v>2071</v>
      </c>
      <c r="W164" s="499" t="s">
        <v>2071</v>
      </c>
      <c r="X164" s="437"/>
      <c r="Y164" s="437"/>
      <c r="Z164" s="437" t="s">
        <v>2071</v>
      </c>
      <c r="AA164" s="437"/>
      <c r="AB164" s="94" t="s">
        <v>3764</v>
      </c>
      <c r="AC164" s="94" t="s">
        <v>3765</v>
      </c>
      <c r="AD164" s="94" t="s">
        <v>2071</v>
      </c>
      <c r="AE164" s="551">
        <f t="shared" si="2"/>
        <v>847.8</v>
      </c>
      <c r="AF164" s="94" t="s">
        <v>3766</v>
      </c>
      <c r="AG164" s="89">
        <v>46174</v>
      </c>
      <c r="AH164" s="7"/>
    </row>
    <row r="165" spans="1:34">
      <c r="A165" s="780">
        <v>785</v>
      </c>
      <c r="B165" s="174" t="s">
        <v>58</v>
      </c>
      <c r="C165" s="10" t="s">
        <v>1061</v>
      </c>
      <c r="D165" s="367" t="s">
        <v>2284</v>
      </c>
      <c r="E165" s="385" t="s">
        <v>2857</v>
      </c>
      <c r="F165" s="237">
        <v>45982</v>
      </c>
      <c r="G165" s="378">
        <v>47078</v>
      </c>
      <c r="H165" s="94" t="s">
        <v>3767</v>
      </c>
      <c r="I165" s="367" t="s">
        <v>2333</v>
      </c>
      <c r="J165" s="367" t="s">
        <v>1951</v>
      </c>
      <c r="K165" s="405">
        <v>439.27</v>
      </c>
      <c r="L165" s="3" t="s">
        <v>2285</v>
      </c>
      <c r="M165" s="174" t="s">
        <v>3768</v>
      </c>
      <c r="N165" s="347">
        <v>46027</v>
      </c>
      <c r="O165" s="347">
        <v>47123</v>
      </c>
      <c r="P165" s="174" t="s">
        <v>3768</v>
      </c>
      <c r="Q165" s="10" t="s">
        <v>2336</v>
      </c>
      <c r="R165" s="10" t="s">
        <v>1951</v>
      </c>
      <c r="S165" s="478">
        <v>410</v>
      </c>
      <c r="T165" s="373"/>
      <c r="U165" s="184" t="s">
        <v>2071</v>
      </c>
      <c r="V165" s="184" t="s">
        <v>2071</v>
      </c>
      <c r="W165" s="184" t="s">
        <v>2071</v>
      </c>
      <c r="X165" s="349"/>
      <c r="Y165" s="349"/>
      <c r="Z165" s="349" t="s">
        <v>2071</v>
      </c>
      <c r="AA165" s="349"/>
      <c r="AB165" s="8" t="s">
        <v>3769</v>
      </c>
      <c r="AC165" s="8" t="s">
        <v>3770</v>
      </c>
      <c r="AD165" s="8" t="s">
        <v>2071</v>
      </c>
      <c r="AE165" s="67">
        <f t="shared" si="2"/>
        <v>849.27</v>
      </c>
      <c r="AF165" s="8" t="s">
        <v>3771</v>
      </c>
      <c r="AG165" s="78">
        <v>46027</v>
      </c>
      <c r="AH165" s="433"/>
    </row>
    <row r="166" spans="1:34">
      <c r="A166" s="779">
        <v>788</v>
      </c>
      <c r="B166" s="367" t="s">
        <v>58</v>
      </c>
      <c r="C166" s="385" t="s">
        <v>1068</v>
      </c>
      <c r="D166" s="3" t="s">
        <v>2284</v>
      </c>
      <c r="E166" s="3" t="s">
        <v>2857</v>
      </c>
      <c r="F166" s="295">
        <v>45996</v>
      </c>
      <c r="G166" s="78">
        <v>47092</v>
      </c>
      <c r="H166" s="81" t="s">
        <v>3772</v>
      </c>
      <c r="I166" s="8" t="s">
        <v>2333</v>
      </c>
      <c r="J166" s="8" t="s">
        <v>1951</v>
      </c>
      <c r="K166" s="405">
        <v>439.27</v>
      </c>
      <c r="L166" s="798" t="s">
        <v>1954</v>
      </c>
      <c r="M166" s="708">
        <v>2341178</v>
      </c>
      <c r="N166" s="794">
        <v>45220</v>
      </c>
      <c r="O166" s="794">
        <v>46316</v>
      </c>
      <c r="P166" s="799" t="s">
        <v>3773</v>
      </c>
      <c r="Q166" s="793" t="s">
        <v>1970</v>
      </c>
      <c r="R166" s="793" t="s">
        <v>1951</v>
      </c>
      <c r="S166" s="478">
        <v>501.99</v>
      </c>
      <c r="T166" s="374"/>
      <c r="U166" s="461" t="s">
        <v>2071</v>
      </c>
      <c r="V166" s="461" t="s">
        <v>2071</v>
      </c>
      <c r="W166" s="461" t="s">
        <v>2071</v>
      </c>
      <c r="X166" s="382"/>
      <c r="Y166" s="382"/>
      <c r="Z166" s="382" t="s">
        <v>2071</v>
      </c>
      <c r="AA166" s="382"/>
      <c r="AB166" s="10" t="s">
        <v>3774</v>
      </c>
      <c r="AC166" s="10" t="s">
        <v>3775</v>
      </c>
      <c r="AD166" s="10" t="s">
        <v>3776</v>
      </c>
      <c r="AE166" s="92">
        <f t="shared" si="2"/>
        <v>941.26</v>
      </c>
      <c r="AF166" s="10" t="s">
        <v>3777</v>
      </c>
      <c r="AG166" s="91">
        <v>45996</v>
      </c>
      <c r="AH166" s="7"/>
    </row>
    <row r="167" spans="1:34">
      <c r="A167" s="774">
        <v>794</v>
      </c>
      <c r="B167" s="3" t="s">
        <v>58</v>
      </c>
      <c r="C167" s="8" t="s">
        <v>1069</v>
      </c>
      <c r="D167" s="10" t="s">
        <v>2285</v>
      </c>
      <c r="E167" s="396" t="s">
        <v>3778</v>
      </c>
      <c r="F167" s="669">
        <v>46009</v>
      </c>
      <c r="G167" s="397">
        <v>47105</v>
      </c>
      <c r="H167" s="396" t="s">
        <v>3778</v>
      </c>
      <c r="I167" s="94" t="s">
        <v>2336</v>
      </c>
      <c r="J167" s="94" t="s">
        <v>1951</v>
      </c>
      <c r="K167" s="405">
        <v>410</v>
      </c>
      <c r="L167" s="8" t="s">
        <v>1954</v>
      </c>
      <c r="M167" s="390">
        <v>2341178</v>
      </c>
      <c r="N167" s="237">
        <v>45792</v>
      </c>
      <c r="O167" s="237">
        <v>46522</v>
      </c>
      <c r="P167" s="380" t="s">
        <v>3779</v>
      </c>
      <c r="Q167" s="94" t="s">
        <v>3174</v>
      </c>
      <c r="R167" s="94" t="s">
        <v>2860</v>
      </c>
      <c r="S167" s="473">
        <v>144.09</v>
      </c>
      <c r="T167" s="437"/>
      <c r="U167" s="461" t="s">
        <v>2071</v>
      </c>
      <c r="V167" s="461" t="s">
        <v>2071</v>
      </c>
      <c r="W167" s="461" t="s">
        <v>2071</v>
      </c>
      <c r="X167" s="437"/>
      <c r="Y167" s="437"/>
      <c r="Z167" s="382"/>
      <c r="AA167" s="382"/>
      <c r="AB167" s="96" t="s">
        <v>3780</v>
      </c>
      <c r="AC167" s="10" t="s">
        <v>3781</v>
      </c>
      <c r="AD167" s="16" t="s">
        <v>3782</v>
      </c>
      <c r="AE167" s="92">
        <f t="shared" si="2"/>
        <v>554.09</v>
      </c>
      <c r="AF167" s="96" t="s">
        <v>3783</v>
      </c>
      <c r="AG167" s="91">
        <v>46009</v>
      </c>
      <c r="AH167" s="433"/>
    </row>
    <row r="168" spans="1:34">
      <c r="A168" s="780">
        <v>795</v>
      </c>
      <c r="B168" s="296" t="s">
        <v>1077</v>
      </c>
      <c r="C168" s="16" t="s">
        <v>940</v>
      </c>
      <c r="D168" s="3" t="s">
        <v>2284</v>
      </c>
      <c r="E168" s="3" t="s">
        <v>2857</v>
      </c>
      <c r="F168" s="295">
        <v>45995</v>
      </c>
      <c r="G168" s="78">
        <v>47091</v>
      </c>
      <c r="H168" s="8" t="s">
        <v>3784</v>
      </c>
      <c r="I168" s="8" t="s">
        <v>2333</v>
      </c>
      <c r="J168" s="8" t="s">
        <v>1951</v>
      </c>
      <c r="K168" s="509">
        <v>450.25</v>
      </c>
      <c r="L168" s="83" t="s">
        <v>2297</v>
      </c>
      <c r="M168" s="218">
        <v>23348</v>
      </c>
      <c r="N168" s="630">
        <v>46097</v>
      </c>
      <c r="O168" s="78">
        <v>46828</v>
      </c>
      <c r="P168" t="s">
        <v>3785</v>
      </c>
      <c r="Q168" s="8" t="s">
        <v>3143</v>
      </c>
      <c r="R168" s="83" t="s">
        <v>2860</v>
      </c>
      <c r="S168" s="428">
        <v>232.79</v>
      </c>
      <c r="T168" s="822" t="s">
        <v>3786</v>
      </c>
      <c r="U168" s="382" t="s">
        <v>2934</v>
      </c>
      <c r="V168" s="464" t="s">
        <v>2010</v>
      </c>
      <c r="W168" s="7" t="s">
        <v>3787</v>
      </c>
      <c r="X168" s="381" t="s">
        <v>3446</v>
      </c>
      <c r="Y168" s="184" t="s">
        <v>3456</v>
      </c>
      <c r="Z168" s="374" t="s">
        <v>2071</v>
      </c>
      <c r="AA168" s="461"/>
      <c r="AB168" s="8" t="s">
        <v>3788</v>
      </c>
      <c r="AC168" s="8" t="s">
        <v>3789</v>
      </c>
      <c r="AD168" s="83" t="s">
        <v>2071</v>
      </c>
      <c r="AE168" s="67">
        <f t="shared" si="2"/>
        <v>787.08999999999992</v>
      </c>
      <c r="AF168" s="68" t="s">
        <v>3790</v>
      </c>
      <c r="AG168" s="78">
        <v>45995</v>
      </c>
      <c r="AH168" s="480"/>
    </row>
    <row r="169" spans="1:34">
      <c r="A169" s="775">
        <v>796</v>
      </c>
      <c r="B169" s="174" t="s">
        <v>204</v>
      </c>
      <c r="C169" s="16" t="s">
        <v>200</v>
      </c>
      <c r="D169" s="3" t="s">
        <v>2284</v>
      </c>
      <c r="E169" s="3" t="s">
        <v>2857</v>
      </c>
      <c r="F169" s="295">
        <v>46008</v>
      </c>
      <c r="G169" s="78">
        <v>47104</v>
      </c>
      <c r="H169" s="8" t="s">
        <v>3791</v>
      </c>
      <c r="I169" s="3" t="s">
        <v>2333</v>
      </c>
      <c r="J169" s="8" t="s">
        <v>1951</v>
      </c>
      <c r="K169" s="509">
        <v>444.7</v>
      </c>
      <c r="L169" s="390" t="s">
        <v>1954</v>
      </c>
      <c r="M169" s="8">
        <v>22153440</v>
      </c>
      <c r="N169" s="237">
        <v>46225</v>
      </c>
      <c r="O169" s="237">
        <v>47321</v>
      </c>
      <c r="P169" s="19">
        <v>680000221283897</v>
      </c>
      <c r="Q169" s="94" t="s">
        <v>2333</v>
      </c>
      <c r="R169" s="376" t="s">
        <v>1951</v>
      </c>
      <c r="S169" s="514">
        <v>380</v>
      </c>
      <c r="T169" s="373"/>
      <c r="U169" s="349"/>
      <c r="V169" s="184"/>
      <c r="W169" s="382"/>
      <c r="X169" s="349"/>
      <c r="Y169" s="349"/>
      <c r="Z169" s="448" t="s">
        <v>2071</v>
      </c>
      <c r="AA169" s="438"/>
      <c r="AB169" s="8" t="s">
        <v>3792</v>
      </c>
      <c r="AC169" s="8" t="s">
        <v>3793</v>
      </c>
      <c r="AD169" s="83" t="s">
        <v>2071</v>
      </c>
      <c r="AE169" s="67">
        <f t="shared" si="2"/>
        <v>824.7</v>
      </c>
      <c r="AF169" s="68" t="s">
        <v>3794</v>
      </c>
      <c r="AG169" s="78">
        <v>46225</v>
      </c>
      <c r="AH169" s="68"/>
    </row>
    <row r="170" spans="1:34">
      <c r="A170" s="320">
        <v>799</v>
      </c>
      <c r="B170" s="367" t="s">
        <v>50</v>
      </c>
      <c r="C170" s="385" t="s">
        <v>49</v>
      </c>
      <c r="D170" s="154" t="s">
        <v>2284</v>
      </c>
      <c r="E170" s="17" t="s">
        <v>2857</v>
      </c>
      <c r="F170" s="84">
        <v>45951</v>
      </c>
      <c r="G170" s="84">
        <v>47047</v>
      </c>
      <c r="H170" s="388" t="s">
        <v>3795</v>
      </c>
      <c r="I170" s="17" t="s">
        <v>1964</v>
      </c>
      <c r="J170" s="181" t="s">
        <v>1951</v>
      </c>
      <c r="K170" s="439">
        <v>433.98</v>
      </c>
      <c r="L170" s="402" t="s">
        <v>2287</v>
      </c>
      <c r="M170" s="659" t="s">
        <v>3796</v>
      </c>
      <c r="N170" s="397">
        <v>45572</v>
      </c>
      <c r="O170" s="397">
        <v>46302</v>
      </c>
      <c r="P170" s="398">
        <v>2194683</v>
      </c>
      <c r="Q170" s="396" t="s">
        <v>2867</v>
      </c>
      <c r="R170" s="396" t="s">
        <v>2860</v>
      </c>
      <c r="S170" s="432">
        <v>298.89999999999998</v>
      </c>
      <c r="T170" s="389"/>
      <c r="U170" s="437"/>
      <c r="V170" s="437"/>
      <c r="W170" s="437"/>
      <c r="X170" s="437"/>
      <c r="Y170" s="437"/>
      <c r="Z170" s="438" t="s">
        <v>2071</v>
      </c>
      <c r="AA170" s="438"/>
      <c r="AB170" s="69" t="s">
        <v>3797</v>
      </c>
      <c r="AC170" s="17" t="s">
        <v>3798</v>
      </c>
      <c r="AD170" s="181" t="s">
        <v>2071</v>
      </c>
      <c r="AE170" s="85">
        <f t="shared" si="2"/>
        <v>732.88</v>
      </c>
      <c r="AF170" s="69" t="s">
        <v>3799</v>
      </c>
      <c r="AG170" s="78">
        <v>45951</v>
      </c>
      <c r="AH170" s="68"/>
    </row>
    <row r="171" spans="1:34">
      <c r="A171" s="319">
        <v>844</v>
      </c>
      <c r="B171" s="292" t="s">
        <v>251</v>
      </c>
      <c r="C171" s="939" t="s">
        <v>250</v>
      </c>
      <c r="D171" s="936" t="s">
        <v>1956</v>
      </c>
      <c r="E171" s="933" t="s">
        <v>3327</v>
      </c>
      <c r="F171" s="938">
        <v>45231</v>
      </c>
      <c r="G171" s="932">
        <v>46327</v>
      </c>
      <c r="H171" s="933">
        <v>9316664</v>
      </c>
      <c r="I171" s="934" t="s">
        <v>2785</v>
      </c>
      <c r="J171" s="1014" t="s">
        <v>1951</v>
      </c>
      <c r="K171" s="439">
        <v>500.62</v>
      </c>
      <c r="L171" s="217" t="s">
        <v>2284</v>
      </c>
      <c r="M171" s="3" t="s">
        <v>2918</v>
      </c>
      <c r="N171" s="78">
        <v>45951</v>
      </c>
      <c r="O171" s="78">
        <v>47047</v>
      </c>
      <c r="P171" s="81" t="s">
        <v>3800</v>
      </c>
      <c r="Q171" s="8" t="s">
        <v>3179</v>
      </c>
      <c r="R171" s="8" t="s">
        <v>2860</v>
      </c>
      <c r="S171" s="331">
        <v>227.82</v>
      </c>
      <c r="T171" s="373"/>
      <c r="U171" s="349"/>
      <c r="V171" s="349"/>
      <c r="W171" s="349"/>
      <c r="X171" s="349"/>
      <c r="Y171" s="349"/>
      <c r="Z171" s="349"/>
      <c r="AA171" s="349"/>
      <c r="AB171" s="8" t="s">
        <v>3801</v>
      </c>
      <c r="AC171" s="8" t="s">
        <v>3802</v>
      </c>
      <c r="AD171" s="8"/>
      <c r="AE171" s="67">
        <f t="shared" si="2"/>
        <v>728.44</v>
      </c>
      <c r="AF171" s="8" t="s">
        <v>3803</v>
      </c>
      <c r="AG171" s="413">
        <v>45951</v>
      </c>
      <c r="AH171" s="104"/>
    </row>
    <row r="172" spans="1:34">
      <c r="A172" s="320">
        <v>845</v>
      </c>
      <c r="B172" s="385" t="s">
        <v>58</v>
      </c>
      <c r="C172" s="385" t="s">
        <v>1093</v>
      </c>
      <c r="D172" s="174" t="s">
        <v>2284</v>
      </c>
      <c r="E172" s="10" t="s">
        <v>2857</v>
      </c>
      <c r="F172" s="347">
        <v>45952</v>
      </c>
      <c r="G172" s="347">
        <v>47048</v>
      </c>
      <c r="H172" s="348" t="s">
        <v>3804</v>
      </c>
      <c r="I172" s="174" t="s">
        <v>1964</v>
      </c>
      <c r="J172" s="297" t="s">
        <v>1951</v>
      </c>
      <c r="K172" s="439">
        <v>439.27</v>
      </c>
      <c r="L172" s="436" t="s">
        <v>2287</v>
      </c>
      <c r="M172" s="674" t="s">
        <v>3805</v>
      </c>
      <c r="N172" s="371">
        <v>45572</v>
      </c>
      <c r="O172" s="371">
        <v>46302</v>
      </c>
      <c r="P172" s="674">
        <v>2194688</v>
      </c>
      <c r="Q172" s="369" t="s">
        <v>2867</v>
      </c>
      <c r="R172" s="369" t="s">
        <v>2860</v>
      </c>
      <c r="S172" s="393">
        <v>298.89999999999998</v>
      </c>
      <c r="T172" s="389"/>
      <c r="U172" s="437"/>
      <c r="V172" s="437"/>
      <c r="W172" s="437"/>
      <c r="X172" s="437"/>
      <c r="Y172" s="437"/>
      <c r="Z172" s="382"/>
      <c r="AA172" s="382"/>
      <c r="AB172" s="96" t="s">
        <v>3806</v>
      </c>
      <c r="AC172" s="10" t="s">
        <v>3807</v>
      </c>
      <c r="AD172" s="16" t="s">
        <v>3808</v>
      </c>
      <c r="AE172" s="92">
        <f t="shared" si="2"/>
        <v>738.17</v>
      </c>
      <c r="AF172" s="96" t="s">
        <v>3809</v>
      </c>
      <c r="AG172" s="78">
        <v>45952</v>
      </c>
    </row>
    <row r="173" spans="1:34">
      <c r="A173" s="780">
        <v>847</v>
      </c>
      <c r="B173" s="3" t="s">
        <v>328</v>
      </c>
      <c r="C173" s="8" t="s">
        <v>1097</v>
      </c>
      <c r="D173" s="10" t="s">
        <v>2284</v>
      </c>
      <c r="E173" s="154" t="s">
        <v>2857</v>
      </c>
      <c r="F173" s="678">
        <v>46092</v>
      </c>
      <c r="G173" s="664">
        <v>47188</v>
      </c>
      <c r="H173" s="648" t="s">
        <v>3810</v>
      </c>
      <c r="I173" s="10" t="s">
        <v>2333</v>
      </c>
      <c r="J173" s="16" t="s">
        <v>1951</v>
      </c>
      <c r="K173" s="439">
        <v>1025.06</v>
      </c>
      <c r="L173" s="3" t="s">
        <v>2285</v>
      </c>
      <c r="M173" s="576" t="s">
        <v>3811</v>
      </c>
      <c r="N173" s="578">
        <v>45860</v>
      </c>
      <c r="O173" s="578">
        <v>46956</v>
      </c>
      <c r="P173" s="576" t="s">
        <v>3812</v>
      </c>
      <c r="Q173" s="8" t="s">
        <v>3523</v>
      </c>
      <c r="R173" s="8" t="s">
        <v>2860</v>
      </c>
      <c r="S173" s="439">
        <v>459.7</v>
      </c>
      <c r="T173" s="822" t="s">
        <v>3813</v>
      </c>
      <c r="U173" s="382" t="s">
        <v>2934</v>
      </c>
      <c r="V173" s="377" t="s">
        <v>2370</v>
      </c>
      <c r="W173" s="7" t="s">
        <v>3814</v>
      </c>
      <c r="X173" s="373" t="s">
        <v>2880</v>
      </c>
      <c r="Y173" s="349"/>
      <c r="Z173" s="389" t="s">
        <v>2071</v>
      </c>
      <c r="AA173" s="437"/>
      <c r="AB173" s="8" t="s">
        <v>3815</v>
      </c>
      <c r="AC173" s="8" t="s">
        <v>3816</v>
      </c>
      <c r="AD173" s="83" t="s">
        <v>2071</v>
      </c>
      <c r="AE173" s="67">
        <f t="shared" si="2"/>
        <v>1484.76</v>
      </c>
      <c r="AF173" s="68" t="s">
        <v>3817</v>
      </c>
      <c r="AG173" s="78">
        <v>46092</v>
      </c>
      <c r="AH173" s="68"/>
    </row>
    <row r="174" spans="1:34">
      <c r="A174" s="780">
        <v>848</v>
      </c>
      <c r="B174" s="3" t="s">
        <v>58</v>
      </c>
      <c r="C174" s="8" t="s">
        <v>105</v>
      </c>
      <c r="D174" s="10" t="s">
        <v>2285</v>
      </c>
      <c r="E174" s="17" t="s">
        <v>3818</v>
      </c>
      <c r="F174" s="485">
        <v>45506</v>
      </c>
      <c r="G174" s="84">
        <v>46601</v>
      </c>
      <c r="H174" s="388" t="s">
        <v>3819</v>
      </c>
      <c r="I174" s="17" t="s">
        <v>2785</v>
      </c>
      <c r="J174" s="181" t="s">
        <v>1951</v>
      </c>
      <c r="K174" s="425">
        <v>430</v>
      </c>
      <c r="L174" s="69" t="s">
        <v>2284</v>
      </c>
      <c r="M174" s="550" t="s">
        <v>2918</v>
      </c>
      <c r="N174" s="84">
        <v>45939</v>
      </c>
      <c r="O174" s="387">
        <v>47035</v>
      </c>
      <c r="P174" s="388" t="s">
        <v>3820</v>
      </c>
      <c r="Q174" s="17" t="s">
        <v>2859</v>
      </c>
      <c r="R174" s="17" t="s">
        <v>2860</v>
      </c>
      <c r="S174" s="509">
        <v>189.85</v>
      </c>
      <c r="T174" s="374"/>
      <c r="U174" s="382"/>
      <c r="V174" s="382"/>
      <c r="W174" s="210"/>
      <c r="X174" s="382"/>
      <c r="Y174" s="382"/>
      <c r="Z174" s="349"/>
      <c r="AA174" s="349"/>
      <c r="AB174" s="68" t="s">
        <v>3821</v>
      </c>
      <c r="AC174" s="8" t="s">
        <v>3822</v>
      </c>
      <c r="AD174" s="83" t="s">
        <v>3823</v>
      </c>
      <c r="AE174" s="67">
        <f t="shared" si="2"/>
        <v>619.85</v>
      </c>
      <c r="AF174" s="68" t="s">
        <v>3824</v>
      </c>
      <c r="AG174" s="78">
        <v>45939</v>
      </c>
      <c r="AH174" s="433"/>
    </row>
    <row r="175" spans="1:34">
      <c r="A175" s="783">
        <v>849</v>
      </c>
      <c r="B175" s="174" t="s">
        <v>58</v>
      </c>
      <c r="C175" s="463" t="s">
        <v>565</v>
      </c>
      <c r="D175" s="3" t="s">
        <v>2284</v>
      </c>
      <c r="E175" s="3" t="s">
        <v>2857</v>
      </c>
      <c r="F175" s="78">
        <v>45980</v>
      </c>
      <c r="G175" s="295">
        <v>47076</v>
      </c>
      <c r="H175" s="81" t="s">
        <v>3825</v>
      </c>
      <c r="I175" s="8" t="s">
        <v>2333</v>
      </c>
      <c r="J175" s="83" t="s">
        <v>1951</v>
      </c>
      <c r="K175" s="439">
        <v>439.27</v>
      </c>
      <c r="L175" s="68" t="s">
        <v>2287</v>
      </c>
      <c r="M175" s="8">
        <v>2780719</v>
      </c>
      <c r="N175" s="78">
        <v>46101</v>
      </c>
      <c r="O175" s="78">
        <v>46832</v>
      </c>
      <c r="P175" s="8">
        <v>2780719</v>
      </c>
      <c r="Q175" s="8" t="s">
        <v>3233</v>
      </c>
      <c r="R175" s="8" t="s">
        <v>2860</v>
      </c>
      <c r="S175" s="617">
        <v>280</v>
      </c>
      <c r="T175" s="374"/>
      <c r="U175" s="382"/>
      <c r="V175" s="382"/>
      <c r="W175" s="437"/>
      <c r="X175" s="437"/>
      <c r="Y175" s="437"/>
      <c r="Z175" s="437" t="s">
        <v>3826</v>
      </c>
      <c r="AA175" s="437">
        <v>300</v>
      </c>
      <c r="AB175" s="17" t="s">
        <v>3827</v>
      </c>
      <c r="AC175" s="17" t="s">
        <v>3828</v>
      </c>
      <c r="AD175" s="181" t="s">
        <v>3829</v>
      </c>
      <c r="AE175" s="85">
        <f t="shared" si="2"/>
        <v>1019.27</v>
      </c>
      <c r="AF175" s="69" t="s">
        <v>3830</v>
      </c>
      <c r="AG175" s="89">
        <v>46101</v>
      </c>
      <c r="AH175" s="8"/>
    </row>
    <row r="176" spans="1:34">
      <c r="A176" s="887">
        <v>851</v>
      </c>
      <c r="B176" s="681" t="s">
        <v>58</v>
      </c>
      <c r="C176" s="888" t="s">
        <v>95</v>
      </c>
      <c r="D176" s="3"/>
      <c r="E176" s="3"/>
      <c r="F176" s="371"/>
      <c r="G176" s="371"/>
      <c r="H176" s="81"/>
      <c r="I176" s="369"/>
      <c r="J176" s="83"/>
      <c r="K176" s="439"/>
      <c r="L176" s="402" t="s">
        <v>2287</v>
      </c>
      <c r="M176" s="659" t="s">
        <v>3831</v>
      </c>
      <c r="N176" s="397">
        <v>45572</v>
      </c>
      <c r="O176" s="397">
        <v>46302</v>
      </c>
      <c r="P176" s="659">
        <v>2194653</v>
      </c>
      <c r="Q176" s="396" t="s">
        <v>2867</v>
      </c>
      <c r="R176" s="396" t="s">
        <v>2860</v>
      </c>
      <c r="S176" s="441">
        <v>298.89999999999998</v>
      </c>
      <c r="T176" s="448"/>
      <c r="U176" s="438"/>
      <c r="V176" s="507"/>
      <c r="W176" s="349"/>
      <c r="X176" s="349"/>
      <c r="Y176" s="349"/>
      <c r="Z176" s="349" t="s">
        <v>2071</v>
      </c>
      <c r="AA176" s="349"/>
      <c r="AB176" s="8" t="s">
        <v>3832</v>
      </c>
      <c r="AC176" s="8" t="s">
        <v>3833</v>
      </c>
      <c r="AD176" s="8" t="s">
        <v>2071</v>
      </c>
      <c r="AE176" s="67">
        <f t="shared" si="2"/>
        <v>298.89999999999998</v>
      </c>
      <c r="AF176" s="8" t="s">
        <v>3834</v>
      </c>
      <c r="AG176" s="78">
        <v>45966</v>
      </c>
      <c r="AH176" s="10"/>
    </row>
    <row r="177" spans="1:34">
      <c r="A177" s="780">
        <v>852</v>
      </c>
      <c r="B177" s="3" t="s">
        <v>58</v>
      </c>
      <c r="C177" s="369" t="s">
        <v>95</v>
      </c>
      <c r="D177" s="367" t="s">
        <v>2284</v>
      </c>
      <c r="E177" s="367" t="s">
        <v>2857</v>
      </c>
      <c r="F177" s="397">
        <v>45966</v>
      </c>
      <c r="G177" s="397">
        <v>47062</v>
      </c>
      <c r="H177" s="398" t="s">
        <v>3835</v>
      </c>
      <c r="I177" s="396" t="s">
        <v>2333</v>
      </c>
      <c r="J177" s="396" t="s">
        <v>1951</v>
      </c>
      <c r="K177" s="405">
        <v>439.27</v>
      </c>
      <c r="L177" s="513" t="s">
        <v>2287</v>
      </c>
      <c r="M177" s="476">
        <v>2194783</v>
      </c>
      <c r="N177" s="475">
        <v>45595</v>
      </c>
      <c r="O177" s="475">
        <v>46690</v>
      </c>
      <c r="P177" s="476">
        <v>2194783</v>
      </c>
      <c r="Q177" s="442" t="s">
        <v>2859</v>
      </c>
      <c r="R177" s="442" t="s">
        <v>2860</v>
      </c>
      <c r="S177" s="443">
        <v>298.89999999999998</v>
      </c>
      <c r="T177" s="349"/>
      <c r="U177" s="349"/>
      <c r="V177" s="349"/>
      <c r="W177" s="382"/>
      <c r="X177" s="382"/>
      <c r="Y177" s="382"/>
      <c r="Z177" s="382" t="s">
        <v>2071</v>
      </c>
      <c r="AA177" s="382"/>
      <c r="AB177" s="10" t="s">
        <v>3836</v>
      </c>
      <c r="AC177" s="10" t="s">
        <v>3837</v>
      </c>
      <c r="AD177" s="10" t="s">
        <v>3838</v>
      </c>
      <c r="AE177" s="92">
        <f t="shared" si="2"/>
        <v>738.17</v>
      </c>
      <c r="AF177" s="10" t="s">
        <v>3839</v>
      </c>
      <c r="AG177" s="91">
        <v>45966</v>
      </c>
      <c r="AH177" s="10"/>
    </row>
    <row r="178" spans="1:34">
      <c r="A178" s="320">
        <v>853</v>
      </c>
      <c r="B178" s="367" t="s">
        <v>58</v>
      </c>
      <c r="C178" s="385" t="s">
        <v>1124</v>
      </c>
      <c r="D178" s="154" t="s">
        <v>2284</v>
      </c>
      <c r="E178" s="17" t="s">
        <v>2857</v>
      </c>
      <c r="F178" s="84">
        <v>45951</v>
      </c>
      <c r="G178" s="84">
        <v>47047</v>
      </c>
      <c r="H178" s="17" t="s">
        <v>3840</v>
      </c>
      <c r="I178" s="17" t="s">
        <v>2333</v>
      </c>
      <c r="J178" s="17" t="s">
        <v>1951</v>
      </c>
      <c r="K178" s="405">
        <v>439.27</v>
      </c>
      <c r="L178" s="417" t="s">
        <v>2287</v>
      </c>
      <c r="M178" s="732">
        <v>2194679</v>
      </c>
      <c r="N178" s="415">
        <v>45572</v>
      </c>
      <c r="O178" s="415">
        <v>46302</v>
      </c>
      <c r="P178" s="732">
        <v>2194679</v>
      </c>
      <c r="Q178" s="417" t="s">
        <v>2859</v>
      </c>
      <c r="R178" s="417" t="s">
        <v>2860</v>
      </c>
      <c r="S178" s="331">
        <v>298.89999999999998</v>
      </c>
      <c r="T178" s="819" t="s">
        <v>3841</v>
      </c>
      <c r="U178" s="382" t="s">
        <v>2934</v>
      </c>
      <c r="V178" s="502" t="s">
        <v>2010</v>
      </c>
      <c r="W178" s="11" t="s">
        <v>3842</v>
      </c>
      <c r="X178" s="503" t="s">
        <v>3843</v>
      </c>
      <c r="Y178" s="501" t="s">
        <v>3456</v>
      </c>
      <c r="Z178" s="503"/>
      <c r="AA178" s="501"/>
      <c r="AB178" s="10" t="s">
        <v>3844</v>
      </c>
      <c r="AC178" s="10" t="s">
        <v>3845</v>
      </c>
      <c r="AD178" s="16" t="s">
        <v>3846</v>
      </c>
      <c r="AE178" s="92">
        <f t="shared" si="2"/>
        <v>842.21999999999991</v>
      </c>
      <c r="AF178" s="96" t="s">
        <v>3847</v>
      </c>
      <c r="AG178" s="91">
        <v>45951</v>
      </c>
      <c r="AH178" s="433"/>
    </row>
    <row r="179" spans="1:34">
      <c r="A179" s="320">
        <v>858</v>
      </c>
      <c r="B179" s="367" t="s">
        <v>58</v>
      </c>
      <c r="C179" s="367" t="s">
        <v>95</v>
      </c>
      <c r="D179" s="174" t="s">
        <v>2286</v>
      </c>
      <c r="E179" s="174" t="s">
        <v>2865</v>
      </c>
      <c r="F179" s="347">
        <v>45901</v>
      </c>
      <c r="G179" s="347">
        <v>46997</v>
      </c>
      <c r="H179" s="348">
        <v>11006980</v>
      </c>
      <c r="I179" s="174" t="s">
        <v>2785</v>
      </c>
      <c r="J179" s="174" t="s">
        <v>2866</v>
      </c>
      <c r="K179" s="478">
        <v>385</v>
      </c>
      <c r="L179" s="367" t="s">
        <v>2287</v>
      </c>
      <c r="M179" s="585">
        <v>2194675</v>
      </c>
      <c r="N179" s="347">
        <v>45572</v>
      </c>
      <c r="O179" s="347">
        <v>46302</v>
      </c>
      <c r="P179" s="348">
        <v>2194675</v>
      </c>
      <c r="Q179" s="174" t="s">
        <v>2859</v>
      </c>
      <c r="R179" s="174" t="s">
        <v>2860</v>
      </c>
      <c r="S179" s="478">
        <v>298.89999999999998</v>
      </c>
      <c r="T179" s="373"/>
      <c r="U179" s="349"/>
      <c r="V179" s="349"/>
      <c r="W179" s="349"/>
      <c r="X179" s="349"/>
      <c r="Y179" s="349"/>
      <c r="Z179" s="349" t="s">
        <v>2071</v>
      </c>
      <c r="AA179" s="349"/>
      <c r="AB179" s="8" t="s">
        <v>3848</v>
      </c>
      <c r="AC179" s="8" t="s">
        <v>3849</v>
      </c>
      <c r="AD179" s="83" t="s">
        <v>3850</v>
      </c>
      <c r="AE179" s="67">
        <f t="shared" si="2"/>
        <v>683.9</v>
      </c>
      <c r="AF179" s="68" t="s">
        <v>3851</v>
      </c>
      <c r="AG179" s="89">
        <v>45902</v>
      </c>
      <c r="AH179" s="10"/>
    </row>
    <row r="180" spans="1:34">
      <c r="A180" s="780">
        <v>859</v>
      </c>
      <c r="B180" s="3" t="s">
        <v>58</v>
      </c>
      <c r="C180" s="369" t="s">
        <v>95</v>
      </c>
      <c r="D180" s="154" t="s">
        <v>2284</v>
      </c>
      <c r="E180" s="154" t="s">
        <v>2857</v>
      </c>
      <c r="F180" s="237">
        <v>45982</v>
      </c>
      <c r="G180" s="557">
        <v>47078</v>
      </c>
      <c r="H180" s="94" t="s">
        <v>3852</v>
      </c>
      <c r="I180" s="379" t="s">
        <v>2333</v>
      </c>
      <c r="J180" s="385" t="s">
        <v>1951</v>
      </c>
      <c r="K180" s="405">
        <v>439.27</v>
      </c>
      <c r="L180" s="472" t="s">
        <v>2287</v>
      </c>
      <c r="M180" s="471">
        <v>2194583</v>
      </c>
      <c r="N180" s="470">
        <v>45590</v>
      </c>
      <c r="O180" s="470">
        <v>46685</v>
      </c>
      <c r="P180" s="471">
        <v>2194583</v>
      </c>
      <c r="Q180" s="472" t="s">
        <v>2859</v>
      </c>
      <c r="R180" s="472" t="s">
        <v>2860</v>
      </c>
      <c r="S180" s="478">
        <v>298.89999999999998</v>
      </c>
      <c r="T180" s="373"/>
      <c r="U180" s="349"/>
      <c r="V180" s="349"/>
      <c r="W180" s="349"/>
      <c r="X180" s="349"/>
      <c r="Y180" s="349"/>
      <c r="Z180" s="349" t="s">
        <v>2071</v>
      </c>
      <c r="AA180" s="349"/>
      <c r="AB180" s="8" t="s">
        <v>3853</v>
      </c>
      <c r="AC180" s="8" t="s">
        <v>3854</v>
      </c>
      <c r="AD180" s="83" t="s">
        <v>2071</v>
      </c>
      <c r="AE180" s="67">
        <f t="shared" si="2"/>
        <v>738.17</v>
      </c>
      <c r="AF180" s="68" t="s">
        <v>3855</v>
      </c>
      <c r="AG180" s="78">
        <v>45982</v>
      </c>
      <c r="AH180" s="96"/>
    </row>
    <row r="181" spans="1:34">
      <c r="A181" s="774">
        <v>864</v>
      </c>
      <c r="B181" s="154" t="s">
        <v>120</v>
      </c>
      <c r="C181" s="458" t="s">
        <v>1147</v>
      </c>
      <c r="D181" s="3" t="s">
        <v>2284</v>
      </c>
      <c r="E181" s="3" t="s">
        <v>2857</v>
      </c>
      <c r="F181" s="78">
        <v>45982</v>
      </c>
      <c r="G181" s="295">
        <v>47078</v>
      </c>
      <c r="H181" s="8" t="s">
        <v>3856</v>
      </c>
      <c r="I181" s="3" t="s">
        <v>2333</v>
      </c>
      <c r="J181" s="3" t="s">
        <v>1951</v>
      </c>
      <c r="K181" s="439">
        <v>473.95</v>
      </c>
      <c r="L181" s="68" t="s">
        <v>1954</v>
      </c>
      <c r="M181" s="162">
        <v>22153440</v>
      </c>
      <c r="N181" s="347">
        <v>46192</v>
      </c>
      <c r="O181" s="91">
        <v>47288</v>
      </c>
      <c r="P181" s="1012">
        <v>210570221282192</v>
      </c>
      <c r="Q181" s="10" t="s">
        <v>2333</v>
      </c>
      <c r="R181" s="8" t="s">
        <v>1951</v>
      </c>
      <c r="S181" s="478">
        <v>380</v>
      </c>
      <c r="T181" s="524"/>
      <c r="U181" s="495"/>
      <c r="V181" s="495"/>
      <c r="W181" s="495"/>
      <c r="X181" s="495"/>
      <c r="Y181" s="495"/>
      <c r="Z181" s="495" t="s">
        <v>2071</v>
      </c>
      <c r="AA181" s="495"/>
      <c r="AB181" s="17" t="s">
        <v>3857</v>
      </c>
      <c r="AC181" s="17" t="s">
        <v>3858</v>
      </c>
      <c r="AD181" s="181" t="s">
        <v>2071</v>
      </c>
      <c r="AE181" s="85">
        <f t="shared" si="2"/>
        <v>853.95</v>
      </c>
      <c r="AF181" s="69" t="s">
        <v>3859</v>
      </c>
      <c r="AG181" s="485">
        <v>46192</v>
      </c>
      <c r="AH181" s="68"/>
    </row>
    <row r="182" spans="1:34">
      <c r="A182" s="780">
        <v>867</v>
      </c>
      <c r="B182" s="3" t="s">
        <v>251</v>
      </c>
      <c r="C182" s="3" t="s">
        <v>250</v>
      </c>
      <c r="D182" s="367" t="s">
        <v>1956</v>
      </c>
      <c r="E182" s="367" t="s">
        <v>2917</v>
      </c>
      <c r="F182" s="671">
        <v>45937</v>
      </c>
      <c r="G182" s="378">
        <v>47033</v>
      </c>
      <c r="H182" s="368">
        <v>10079641</v>
      </c>
      <c r="I182" s="367" t="s">
        <v>2333</v>
      </c>
      <c r="J182" s="177" t="s">
        <v>1951</v>
      </c>
      <c r="K182" s="405">
        <v>360</v>
      </c>
      <c r="L182" s="379" t="s">
        <v>2284</v>
      </c>
      <c r="M182" s="367" t="s">
        <v>2918</v>
      </c>
      <c r="N182" s="237">
        <v>45951</v>
      </c>
      <c r="O182" s="391">
        <v>47047</v>
      </c>
      <c r="P182" s="521" t="s">
        <v>3860</v>
      </c>
      <c r="Q182" s="94" t="s">
        <v>3179</v>
      </c>
      <c r="R182" s="390" t="s">
        <v>2860</v>
      </c>
      <c r="S182" s="331">
        <v>227.82</v>
      </c>
      <c r="T182" s="349"/>
      <c r="U182" s="349"/>
      <c r="V182" s="349"/>
      <c r="W182" s="349"/>
      <c r="X182" s="349"/>
      <c r="Y182" s="349"/>
      <c r="Z182" s="349" t="s">
        <v>2071</v>
      </c>
      <c r="AA182" s="349"/>
      <c r="AB182" s="8" t="s">
        <v>3861</v>
      </c>
      <c r="AC182" s="8" t="s">
        <v>3862</v>
      </c>
      <c r="AD182" s="8" t="s">
        <v>2071</v>
      </c>
      <c r="AE182" s="67">
        <f t="shared" si="2"/>
        <v>587.81999999999994</v>
      </c>
      <c r="AF182" s="8" t="s">
        <v>3863</v>
      </c>
      <c r="AG182" s="413">
        <v>45951</v>
      </c>
      <c r="AH182" s="69"/>
    </row>
    <row r="183" spans="1:34">
      <c r="A183" s="320">
        <v>868</v>
      </c>
      <c r="B183" s="656" t="s">
        <v>58</v>
      </c>
      <c r="C183" s="615" t="s">
        <v>95</v>
      </c>
      <c r="D183" s="418" t="s">
        <v>2284</v>
      </c>
      <c r="E183" s="154" t="s">
        <v>2857</v>
      </c>
      <c r="F183" s="84">
        <v>45994</v>
      </c>
      <c r="G183" s="84">
        <v>47090</v>
      </c>
      <c r="H183" s="643" t="s">
        <v>3864</v>
      </c>
      <c r="I183" s="442" t="s">
        <v>2333</v>
      </c>
      <c r="J183" s="442" t="s">
        <v>1951</v>
      </c>
      <c r="K183" s="405">
        <v>439.27</v>
      </c>
      <c r="L183" s="513" t="s">
        <v>2287</v>
      </c>
      <c r="M183" s="660" t="s">
        <v>3865</v>
      </c>
      <c r="N183" s="475">
        <v>45572</v>
      </c>
      <c r="O183" s="475">
        <v>46302</v>
      </c>
      <c r="P183" s="643">
        <v>2194672</v>
      </c>
      <c r="Q183" s="417" t="s">
        <v>2859</v>
      </c>
      <c r="R183" s="417" t="s">
        <v>2860</v>
      </c>
      <c r="S183" s="331">
        <v>298.89999999999998</v>
      </c>
      <c r="T183" s="374"/>
      <c r="U183" s="382"/>
      <c r="V183" s="382"/>
      <c r="W183" s="382"/>
      <c r="X183" s="382"/>
      <c r="Y183" s="382"/>
      <c r="Z183" s="382" t="s">
        <v>2071</v>
      </c>
      <c r="AA183" s="382"/>
      <c r="AB183" s="10" t="s">
        <v>3866</v>
      </c>
      <c r="AC183" s="10" t="s">
        <v>3867</v>
      </c>
      <c r="AD183" s="16" t="s">
        <v>3868</v>
      </c>
      <c r="AE183" s="92">
        <f t="shared" si="2"/>
        <v>738.17</v>
      </c>
      <c r="AF183" s="96" t="s">
        <v>3869</v>
      </c>
      <c r="AG183" s="78">
        <v>45994</v>
      </c>
      <c r="AH183" s="68"/>
    </row>
    <row r="184" spans="1:34">
      <c r="A184" s="777">
        <v>876</v>
      </c>
      <c r="B184" s="3" t="s">
        <v>194</v>
      </c>
      <c r="C184" s="8" t="s">
        <v>190</v>
      </c>
      <c r="D184" s="3" t="s">
        <v>2297</v>
      </c>
      <c r="E184" s="218">
        <v>23348</v>
      </c>
      <c r="F184" s="78">
        <v>46120</v>
      </c>
      <c r="G184" s="78">
        <v>46851</v>
      </c>
      <c r="H184" t="s">
        <v>3870</v>
      </c>
      <c r="I184" s="8" t="s">
        <v>2333</v>
      </c>
      <c r="J184" s="8" t="s">
        <v>1951</v>
      </c>
      <c r="K184" s="439">
        <v>346.35</v>
      </c>
      <c r="L184" s="706" t="s">
        <v>1950</v>
      </c>
      <c r="M184" s="23" t="s">
        <v>3393</v>
      </c>
      <c r="N184" s="697">
        <v>44751</v>
      </c>
      <c r="O184" s="680" t="s">
        <v>1968</v>
      </c>
      <c r="P184" s="698" t="s">
        <v>3871</v>
      </c>
      <c r="Q184" s="707" t="s">
        <v>3310</v>
      </c>
      <c r="R184" s="708" t="s">
        <v>1951</v>
      </c>
      <c r="S184" s="709">
        <v>515.30999999999995</v>
      </c>
      <c r="T184" s="373"/>
      <c r="U184" s="373"/>
      <c r="V184" s="373"/>
      <c r="W184" s="373"/>
      <c r="X184" s="373"/>
      <c r="Y184" s="184"/>
      <c r="Z184" s="349" t="s">
        <v>2071</v>
      </c>
      <c r="AA184" s="184"/>
      <c r="AB184" s="8" t="s">
        <v>3872</v>
      </c>
      <c r="AC184" s="8" t="s">
        <v>3873</v>
      </c>
      <c r="AD184" s="83" t="s">
        <v>2071</v>
      </c>
      <c r="AE184" s="67">
        <f t="shared" si="2"/>
        <v>861.66</v>
      </c>
      <c r="AF184" s="68" t="s">
        <v>3874</v>
      </c>
      <c r="AG184" s="78">
        <v>46120</v>
      </c>
      <c r="AH184" s="68"/>
    </row>
    <row r="185" spans="1:34">
      <c r="A185" s="776">
        <v>877</v>
      </c>
      <c r="B185" s="367" t="s">
        <v>50</v>
      </c>
      <c r="C185" s="367" t="s">
        <v>1164</v>
      </c>
      <c r="D185" s="367" t="s">
        <v>1954</v>
      </c>
      <c r="E185" s="367">
        <v>3249939</v>
      </c>
      <c r="F185" s="378">
        <v>45919</v>
      </c>
      <c r="G185" s="378">
        <v>46649</v>
      </c>
      <c r="H185" s="367" t="s">
        <v>3875</v>
      </c>
      <c r="I185" s="367" t="s">
        <v>2876</v>
      </c>
      <c r="J185" s="367" t="s">
        <v>2860</v>
      </c>
      <c r="K185" s="514">
        <v>94.9</v>
      </c>
      <c r="L185" s="94" t="s">
        <v>2284</v>
      </c>
      <c r="M185" s="94" t="s">
        <v>3876</v>
      </c>
      <c r="N185" s="237">
        <v>45951</v>
      </c>
      <c r="O185" s="237">
        <v>47047</v>
      </c>
      <c r="P185" s="94" t="s">
        <v>3877</v>
      </c>
      <c r="Q185" s="17" t="s">
        <v>2876</v>
      </c>
      <c r="R185" s="17" t="s">
        <v>2860</v>
      </c>
      <c r="S185" s="593">
        <v>225.08</v>
      </c>
      <c r="T185" s="448"/>
      <c r="U185" s="448"/>
      <c r="V185" s="448"/>
      <c r="W185" s="448"/>
      <c r="X185" s="448"/>
      <c r="Y185" s="438"/>
      <c r="Z185" s="438" t="s">
        <v>2071</v>
      </c>
      <c r="AA185" s="438"/>
      <c r="AB185" s="17" t="s">
        <v>3878</v>
      </c>
      <c r="AC185" s="17" t="s">
        <v>3879</v>
      </c>
      <c r="AD185" s="181" t="s">
        <v>2071</v>
      </c>
      <c r="AE185" s="67">
        <f t="shared" si="2"/>
        <v>319.98</v>
      </c>
      <c r="AF185" s="69" t="s">
        <v>3880</v>
      </c>
      <c r="AG185" s="883">
        <v>45951</v>
      </c>
      <c r="AH185" s="433"/>
    </row>
    <row r="186" spans="1:34">
      <c r="A186" s="780">
        <v>879</v>
      </c>
      <c r="B186" s="414" t="s">
        <v>50</v>
      </c>
      <c r="C186" s="414" t="s">
        <v>1169</v>
      </c>
      <c r="D186" s="418" t="s">
        <v>2284</v>
      </c>
      <c r="E186" s="418" t="s">
        <v>2857</v>
      </c>
      <c r="F186" s="675">
        <v>46035</v>
      </c>
      <c r="G186" s="675">
        <v>47131</v>
      </c>
      <c r="H186" s="676" t="s">
        <v>3881</v>
      </c>
      <c r="I186" s="677" t="s">
        <v>2333</v>
      </c>
      <c r="J186" s="418" t="s">
        <v>1951</v>
      </c>
      <c r="K186" s="468">
        <v>433.98</v>
      </c>
      <c r="L186" s="68" t="s">
        <v>1954</v>
      </c>
      <c r="M186" s="8" t="s">
        <v>2874</v>
      </c>
      <c r="N186" s="78">
        <v>46002</v>
      </c>
      <c r="O186" s="78">
        <v>46732</v>
      </c>
      <c r="P186" s="7" t="s">
        <v>3882</v>
      </c>
      <c r="Q186" s="8" t="s">
        <v>2876</v>
      </c>
      <c r="R186" s="8" t="s">
        <v>2860</v>
      </c>
      <c r="S186" s="80">
        <v>94.9</v>
      </c>
      <c r="T186" s="349"/>
      <c r="U186" s="349"/>
      <c r="V186" s="349"/>
      <c r="W186" s="349"/>
      <c r="X186" s="349"/>
      <c r="Y186" s="349"/>
      <c r="Z186" s="349" t="s">
        <v>2071</v>
      </c>
      <c r="AA186" s="349"/>
      <c r="AB186" s="8" t="s">
        <v>3883</v>
      </c>
      <c r="AC186" s="8" t="s">
        <v>3884</v>
      </c>
      <c r="AD186" s="8" t="s">
        <v>2071</v>
      </c>
      <c r="AE186" s="651">
        <f t="shared" si="2"/>
        <v>528.88</v>
      </c>
      <c r="AF186" s="8" t="s">
        <v>3885</v>
      </c>
      <c r="AG186" s="78">
        <v>46035</v>
      </c>
      <c r="AH186" s="8"/>
    </row>
    <row r="187" spans="1:34">
      <c r="A187" s="321">
        <v>880</v>
      </c>
      <c r="B187" s="367" t="s">
        <v>251</v>
      </c>
      <c r="C187" s="967" t="s">
        <v>1173</v>
      </c>
      <c r="D187" s="154" t="s">
        <v>2284</v>
      </c>
      <c r="E187" s="17" t="s">
        <v>2857</v>
      </c>
      <c r="F187" s="401">
        <v>45993</v>
      </c>
      <c r="G187" s="401">
        <v>47089</v>
      </c>
      <c r="H187" s="882" t="s">
        <v>3886</v>
      </c>
      <c r="I187" s="400" t="s">
        <v>2333</v>
      </c>
      <c r="J187" s="400" t="s">
        <v>1951</v>
      </c>
      <c r="K187" s="405">
        <v>439.27</v>
      </c>
      <c r="L187" s="583" t="s">
        <v>2287</v>
      </c>
      <c r="M187" s="953" t="s">
        <v>3887</v>
      </c>
      <c r="N187" s="454">
        <v>45572</v>
      </c>
      <c r="O187" s="454">
        <v>46302</v>
      </c>
      <c r="P187" s="953">
        <v>2194622</v>
      </c>
      <c r="Q187" s="455" t="s">
        <v>2859</v>
      </c>
      <c r="R187" s="455" t="s">
        <v>2860</v>
      </c>
      <c r="S187" s="441">
        <v>298.89999999999998</v>
      </c>
      <c r="T187" s="374"/>
      <c r="U187" s="382"/>
      <c r="V187" s="382"/>
      <c r="W187" s="382"/>
      <c r="X187" s="382"/>
      <c r="Y187" s="501"/>
      <c r="Z187" s="382" t="s">
        <v>2071</v>
      </c>
      <c r="AA187" s="501"/>
      <c r="AB187" s="10" t="s">
        <v>3888</v>
      </c>
      <c r="AC187" s="10" t="s">
        <v>3889</v>
      </c>
      <c r="AD187" s="10" t="s">
        <v>2071</v>
      </c>
      <c r="AE187" s="67">
        <f t="shared" si="2"/>
        <v>738.17</v>
      </c>
      <c r="AF187" s="10" t="s">
        <v>3890</v>
      </c>
      <c r="AG187" s="91">
        <v>45993</v>
      </c>
      <c r="AH187" s="390"/>
    </row>
    <row r="188" spans="1:34">
      <c r="A188" s="778">
        <v>884</v>
      </c>
      <c r="B188" s="3" t="s">
        <v>251</v>
      </c>
      <c r="C188" s="8" t="s">
        <v>1183</v>
      </c>
      <c r="D188" s="3" t="s">
        <v>2284</v>
      </c>
      <c r="E188" s="3" t="s">
        <v>2857</v>
      </c>
      <c r="F188" s="78">
        <v>45982</v>
      </c>
      <c r="G188" s="295">
        <v>47078</v>
      </c>
      <c r="H188" s="81" t="s">
        <v>3891</v>
      </c>
      <c r="I188" s="3" t="s">
        <v>2333</v>
      </c>
      <c r="J188" s="3" t="s">
        <v>1951</v>
      </c>
      <c r="K188" s="439">
        <v>439.27</v>
      </c>
      <c r="L188" s="68" t="s">
        <v>1954</v>
      </c>
      <c r="M188" s="8">
        <v>22153440</v>
      </c>
      <c r="N188" s="78">
        <v>46174</v>
      </c>
      <c r="O188" s="89">
        <v>47270</v>
      </c>
      <c r="P188" s="81">
        <v>310850221270496</v>
      </c>
      <c r="Q188" s="3" t="s">
        <v>1964</v>
      </c>
      <c r="R188" s="3" t="s">
        <v>1951</v>
      </c>
      <c r="S188" s="617">
        <v>380</v>
      </c>
      <c r="T188" s="374"/>
      <c r="U188" s="382"/>
      <c r="V188" s="382"/>
      <c r="W188" s="382"/>
      <c r="X188" s="382"/>
      <c r="Y188" s="382"/>
      <c r="Z188" s="382" t="s">
        <v>2071</v>
      </c>
      <c r="AA188" s="382"/>
      <c r="AB188" s="10" t="s">
        <v>3892</v>
      </c>
      <c r="AC188" s="10" t="s">
        <v>3893</v>
      </c>
      <c r="AD188" s="16" t="s">
        <v>2071</v>
      </c>
      <c r="AE188" s="92">
        <f t="shared" si="2"/>
        <v>819.27</v>
      </c>
      <c r="AF188" s="96" t="s">
        <v>3894</v>
      </c>
      <c r="AG188" s="89">
        <v>46174</v>
      </c>
      <c r="AH188" s="8"/>
    </row>
    <row r="189" spans="1:34">
      <c r="A189" s="319">
        <v>888</v>
      </c>
      <c r="B189" s="656" t="s">
        <v>50</v>
      </c>
      <c r="C189" s="615" t="s">
        <v>49</v>
      </c>
      <c r="D189" s="455" t="s">
        <v>1956</v>
      </c>
      <c r="E189" s="367" t="s">
        <v>2917</v>
      </c>
      <c r="F189" s="454">
        <v>45959</v>
      </c>
      <c r="G189" s="454">
        <v>47055</v>
      </c>
      <c r="H189" s="512">
        <v>10079716</v>
      </c>
      <c r="I189" s="455" t="s">
        <v>2333</v>
      </c>
      <c r="J189" s="455" t="s">
        <v>1951</v>
      </c>
      <c r="K189" s="441">
        <v>360</v>
      </c>
      <c r="L189" s="583" t="s">
        <v>2287</v>
      </c>
      <c r="M189" s="733" t="s">
        <v>3895</v>
      </c>
      <c r="N189" s="470">
        <v>45594</v>
      </c>
      <c r="O189" s="470">
        <v>46324</v>
      </c>
      <c r="P189" s="491">
        <v>1868767</v>
      </c>
      <c r="Q189" s="472" t="s">
        <v>2859</v>
      </c>
      <c r="R189" s="472" t="s">
        <v>2860</v>
      </c>
      <c r="S189" s="343">
        <v>280</v>
      </c>
      <c r="T189" s="184"/>
      <c r="U189" s="184"/>
      <c r="V189" s="184"/>
      <c r="W189" s="184"/>
      <c r="X189" s="184"/>
      <c r="Y189" s="184"/>
      <c r="Z189" s="184"/>
      <c r="AA189" s="184"/>
      <c r="AB189" s="8" t="s">
        <v>3896</v>
      </c>
      <c r="AC189" s="8" t="s">
        <v>3897</v>
      </c>
      <c r="AD189" s="83" t="s">
        <v>2071</v>
      </c>
      <c r="AE189" s="67">
        <f t="shared" si="2"/>
        <v>640</v>
      </c>
      <c r="AF189" s="68" t="s">
        <v>3898</v>
      </c>
      <c r="AG189" s="78">
        <v>45800</v>
      </c>
      <c r="AH189" s="64"/>
    </row>
    <row r="190" spans="1:34">
      <c r="A190" s="785">
        <v>889</v>
      </c>
      <c r="B190" s="3" t="s">
        <v>58</v>
      </c>
      <c r="C190" s="3" t="s">
        <v>95</v>
      </c>
      <c r="D190" s="3" t="s">
        <v>2286</v>
      </c>
      <c r="E190" s="3" t="s">
        <v>2865</v>
      </c>
      <c r="F190" s="295">
        <v>45904</v>
      </c>
      <c r="G190" s="295">
        <v>47000</v>
      </c>
      <c r="H190" s="298">
        <v>11008905</v>
      </c>
      <c r="I190" s="3" t="s">
        <v>2785</v>
      </c>
      <c r="J190" s="3" t="s">
        <v>2866</v>
      </c>
      <c r="K190" s="331">
        <v>385</v>
      </c>
      <c r="L190" s="3" t="s">
        <v>2287</v>
      </c>
      <c r="M190" s="407" t="s">
        <v>3899</v>
      </c>
      <c r="N190" s="387">
        <v>45572</v>
      </c>
      <c r="O190" s="387">
        <v>46302</v>
      </c>
      <c r="P190" s="469">
        <v>2194639</v>
      </c>
      <c r="Q190" s="154" t="s">
        <v>2867</v>
      </c>
      <c r="R190" s="154" t="s">
        <v>2860</v>
      </c>
      <c r="S190" s="443">
        <v>298.89999999999998</v>
      </c>
      <c r="T190" s="373"/>
      <c r="U190" s="349"/>
      <c r="V190" s="349"/>
      <c r="W190" s="349"/>
      <c r="X190" s="349"/>
      <c r="Y190" s="349"/>
      <c r="Z190" s="349" t="s">
        <v>2071</v>
      </c>
      <c r="AA190" s="349"/>
      <c r="AB190" s="8" t="s">
        <v>3900</v>
      </c>
      <c r="AC190" s="8" t="s">
        <v>3901</v>
      </c>
      <c r="AD190" s="83" t="s">
        <v>3902</v>
      </c>
      <c r="AE190" s="67">
        <f t="shared" si="2"/>
        <v>683.9</v>
      </c>
      <c r="AF190" s="68" t="s">
        <v>3903</v>
      </c>
      <c r="AG190" s="89">
        <v>45904</v>
      </c>
      <c r="AH190" s="12"/>
    </row>
    <row r="191" spans="1:34" s="28" customFormat="1">
      <c r="A191" s="321">
        <v>890</v>
      </c>
      <c r="B191" s="174" t="s">
        <v>50</v>
      </c>
      <c r="C191" s="404" t="s">
        <v>1200</v>
      </c>
      <c r="D191" s="174" t="s">
        <v>2284</v>
      </c>
      <c r="E191" s="174" t="s">
        <v>2857</v>
      </c>
      <c r="F191" s="397">
        <v>46010</v>
      </c>
      <c r="G191" s="397">
        <v>47106</v>
      </c>
      <c r="H191" s="6" t="s">
        <v>3904</v>
      </c>
      <c r="I191" s="367" t="s">
        <v>2333</v>
      </c>
      <c r="J191" s="94" t="s">
        <v>1951</v>
      </c>
      <c r="K191" s="514">
        <v>433.98</v>
      </c>
      <c r="L191" s="396" t="s">
        <v>2287</v>
      </c>
      <c r="M191" s="882" t="s">
        <v>3905</v>
      </c>
      <c r="N191" s="401">
        <v>45588</v>
      </c>
      <c r="O191" s="401">
        <v>46318</v>
      </c>
      <c r="P191" s="658">
        <v>2194634</v>
      </c>
      <c r="Q191" s="400" t="s">
        <v>2859</v>
      </c>
      <c r="R191" s="400" t="s">
        <v>2860</v>
      </c>
      <c r="S191" s="509">
        <v>304.02</v>
      </c>
      <c r="T191" s="373"/>
      <c r="U191" s="349"/>
      <c r="V191" s="349"/>
      <c r="W191" s="349"/>
      <c r="X191" s="349"/>
      <c r="Y191" s="349"/>
      <c r="Z191" s="349" t="s">
        <v>2071</v>
      </c>
      <c r="AA191" s="349"/>
      <c r="AB191" s="8" t="s">
        <v>3906</v>
      </c>
      <c r="AC191" s="8" t="s">
        <v>3907</v>
      </c>
      <c r="AD191" s="83" t="s">
        <v>2071</v>
      </c>
      <c r="AE191" s="67">
        <f t="shared" si="2"/>
        <v>738</v>
      </c>
      <c r="AF191" s="68" t="s">
        <v>3908</v>
      </c>
      <c r="AG191" s="89">
        <v>46010</v>
      </c>
      <c r="AH191" s="8"/>
    </row>
    <row r="192" spans="1:34">
      <c r="A192" s="705">
        <v>891</v>
      </c>
      <c r="B192" s="367" t="s">
        <v>83</v>
      </c>
      <c r="C192" s="376" t="s">
        <v>1210</v>
      </c>
      <c r="D192" s="94" t="s">
        <v>2284</v>
      </c>
      <c r="E192" s="367" t="s">
        <v>2857</v>
      </c>
      <c r="F192" s="84">
        <v>46077</v>
      </c>
      <c r="G192" s="387">
        <v>47173</v>
      </c>
      <c r="H192" s="388" t="s">
        <v>3909</v>
      </c>
      <c r="I192" s="17" t="s">
        <v>2333</v>
      </c>
      <c r="J192" s="17" t="s">
        <v>1951</v>
      </c>
      <c r="K192" s="509">
        <v>450.25</v>
      </c>
      <c r="L192" s="3" t="s">
        <v>2285</v>
      </c>
      <c r="M192" s="636" t="s">
        <v>3910</v>
      </c>
      <c r="N192" s="637">
        <v>45166</v>
      </c>
      <c r="O192" s="575">
        <v>46262</v>
      </c>
      <c r="P192" s="636" t="s">
        <v>3911</v>
      </c>
      <c r="Q192" s="421" t="s">
        <v>3310</v>
      </c>
      <c r="R192" s="421" t="s">
        <v>1951</v>
      </c>
      <c r="S192" s="425">
        <v>759.98</v>
      </c>
      <c r="T192" s="373"/>
      <c r="U192" s="349"/>
      <c r="V192" s="349"/>
      <c r="W192" s="349"/>
      <c r="X192" s="349"/>
      <c r="Y192" s="349"/>
      <c r="Z192" s="349" t="s">
        <v>2071</v>
      </c>
      <c r="AA192" s="349"/>
      <c r="AB192" s="8" t="s">
        <v>3912</v>
      </c>
      <c r="AC192" s="8" t="s">
        <v>3913</v>
      </c>
      <c r="AD192" s="83" t="s">
        <v>2071</v>
      </c>
      <c r="AE192" s="67">
        <f t="shared" si="2"/>
        <v>1210.23</v>
      </c>
      <c r="AF192" s="68" t="s">
        <v>3914</v>
      </c>
      <c r="AG192" s="78">
        <v>46077</v>
      </c>
      <c r="AH192" s="96"/>
    </row>
    <row r="193" spans="1:34">
      <c r="A193" s="319">
        <v>893</v>
      </c>
      <c r="B193" s="458" t="s">
        <v>459</v>
      </c>
      <c r="C193" s="960" t="s">
        <v>918</v>
      </c>
      <c r="D193" s="1003" t="s">
        <v>1956</v>
      </c>
      <c r="E193" s="1004" t="s">
        <v>3190</v>
      </c>
      <c r="F193" s="1005">
        <v>45229</v>
      </c>
      <c r="G193" s="1005">
        <v>46325</v>
      </c>
      <c r="H193" s="1004">
        <v>9307735</v>
      </c>
      <c r="I193" s="1006" t="s">
        <v>3086</v>
      </c>
      <c r="J193" s="1007" t="s">
        <v>1951</v>
      </c>
      <c r="K193" s="1008">
        <v>517.12</v>
      </c>
      <c r="L193" s="390" t="s">
        <v>2284</v>
      </c>
      <c r="M193" s="523" t="s">
        <v>2918</v>
      </c>
      <c r="N193" s="237">
        <v>45939</v>
      </c>
      <c r="O193" s="378">
        <v>47035</v>
      </c>
      <c r="P193" s="380" t="s">
        <v>3915</v>
      </c>
      <c r="Q193" s="94" t="s">
        <v>2859</v>
      </c>
      <c r="R193" s="94" t="s">
        <v>2860</v>
      </c>
      <c r="S193" s="514">
        <v>195.82</v>
      </c>
      <c r="T193" s="373"/>
      <c r="U193" s="349"/>
      <c r="V193" s="349"/>
      <c r="W193" s="349"/>
      <c r="X193" s="349"/>
      <c r="Y193" s="349"/>
      <c r="Z193" s="349" t="s">
        <v>2071</v>
      </c>
      <c r="AA193" s="349"/>
      <c r="AB193" s="8" t="s">
        <v>3916</v>
      </c>
      <c r="AC193" s="8" t="s">
        <v>3917</v>
      </c>
      <c r="AD193" s="83" t="s">
        <v>2071</v>
      </c>
      <c r="AE193" s="67">
        <f t="shared" si="2"/>
        <v>712.94</v>
      </c>
      <c r="AF193" s="69" t="s">
        <v>3918</v>
      </c>
      <c r="AG193" s="84">
        <v>45939</v>
      </c>
      <c r="AH193" s="69"/>
    </row>
    <row r="194" spans="1:34">
      <c r="A194" s="778">
        <v>895</v>
      </c>
      <c r="B194" s="3" t="s">
        <v>459</v>
      </c>
      <c r="C194" s="3" t="s">
        <v>458</v>
      </c>
      <c r="D194" s="3" t="s">
        <v>2284</v>
      </c>
      <c r="E194" s="3" t="s">
        <v>2857</v>
      </c>
      <c r="F194" s="295">
        <v>46000</v>
      </c>
      <c r="G194" s="295">
        <v>47096</v>
      </c>
      <c r="H194" s="3" t="s">
        <v>3919</v>
      </c>
      <c r="I194" s="3" t="s">
        <v>2333</v>
      </c>
      <c r="J194" s="3" t="s">
        <v>1951</v>
      </c>
      <c r="K194" s="67">
        <v>453.09</v>
      </c>
      <c r="L194" s="3" t="s">
        <v>1954</v>
      </c>
      <c r="M194" s="162">
        <v>22153440</v>
      </c>
      <c r="N194" s="295">
        <v>46182</v>
      </c>
      <c r="O194" s="295">
        <v>47278</v>
      </c>
      <c r="P194" s="298">
        <v>710000221281293</v>
      </c>
      <c r="Q194" s="3" t="s">
        <v>2333</v>
      </c>
      <c r="R194" s="3" t="s">
        <v>1951</v>
      </c>
      <c r="S194" s="439">
        <v>380</v>
      </c>
      <c r="T194" s="373"/>
      <c r="U194" s="349"/>
      <c r="V194" s="349"/>
      <c r="W194" s="349"/>
      <c r="X194" s="349"/>
      <c r="Y194" s="349"/>
      <c r="Z194" s="349" t="s">
        <v>2071</v>
      </c>
      <c r="AA194" s="349"/>
      <c r="AB194" s="8" t="s">
        <v>3920</v>
      </c>
      <c r="AC194" s="8" t="s">
        <v>3921</v>
      </c>
      <c r="AD194" s="83" t="s">
        <v>2071</v>
      </c>
      <c r="AE194" s="80">
        <f t="shared" ref="AE194:AE216" si="3">SUM(K194+S194+Y194+AA194)</f>
        <v>833.08999999999992</v>
      </c>
      <c r="AF194" s="8" t="s">
        <v>3922</v>
      </c>
      <c r="AG194" s="78">
        <v>46182</v>
      </c>
      <c r="AH194" s="8"/>
    </row>
    <row r="195" spans="1:34">
      <c r="A195" s="780">
        <v>905</v>
      </c>
      <c r="B195" s="174" t="s">
        <v>328</v>
      </c>
      <c r="C195" s="10" t="s">
        <v>327</v>
      </c>
      <c r="D195" s="174" t="s">
        <v>2284</v>
      </c>
      <c r="E195" s="10" t="s">
        <v>2857</v>
      </c>
      <c r="F195" s="91">
        <v>45994</v>
      </c>
      <c r="G195" s="91">
        <v>47090</v>
      </c>
      <c r="H195" s="406" t="s">
        <v>3923</v>
      </c>
      <c r="I195" s="10" t="s">
        <v>2333</v>
      </c>
      <c r="J195" s="10" t="s">
        <v>1951</v>
      </c>
      <c r="K195" s="486">
        <v>444.7</v>
      </c>
      <c r="L195" s="96" t="s">
        <v>2297</v>
      </c>
      <c r="M195" s="767">
        <v>23348</v>
      </c>
      <c r="N195" s="1001">
        <v>46101</v>
      </c>
      <c r="O195" s="572">
        <v>46832</v>
      </c>
      <c r="P195" s="11" t="s">
        <v>3924</v>
      </c>
      <c r="Q195" s="96" t="s">
        <v>2333</v>
      </c>
      <c r="R195" s="10" t="s">
        <v>1951</v>
      </c>
      <c r="S195" s="571">
        <v>350.62</v>
      </c>
      <c r="T195" s="373"/>
      <c r="U195" s="349"/>
      <c r="V195" s="349"/>
      <c r="W195" s="349"/>
      <c r="X195" s="349"/>
      <c r="Y195" s="349"/>
      <c r="Z195" s="349" t="s">
        <v>2071</v>
      </c>
      <c r="AA195" s="349"/>
      <c r="AB195" s="8" t="s">
        <v>3925</v>
      </c>
      <c r="AC195" s="8" t="s">
        <v>3926</v>
      </c>
      <c r="AD195" s="83"/>
      <c r="AE195" s="67">
        <f t="shared" si="3"/>
        <v>795.31999999999994</v>
      </c>
      <c r="AF195" s="96" t="s">
        <v>3927</v>
      </c>
      <c r="AG195" s="91">
        <v>46101</v>
      </c>
      <c r="AH195" s="104" t="s">
        <v>3928</v>
      </c>
    </row>
    <row r="196" spans="1:34">
      <c r="A196" s="776">
        <v>908</v>
      </c>
      <c r="B196" s="656" t="s">
        <v>328</v>
      </c>
      <c r="C196" s="462" t="s">
        <v>1223</v>
      </c>
      <c r="D196" s="94" t="s">
        <v>2285</v>
      </c>
      <c r="E196" s="772" t="s">
        <v>3929</v>
      </c>
      <c r="F196" s="801">
        <v>45975</v>
      </c>
      <c r="G196" s="771">
        <v>47071</v>
      </c>
      <c r="H196" s="772" t="s">
        <v>3930</v>
      </c>
      <c r="I196" s="94" t="s">
        <v>3310</v>
      </c>
      <c r="J196" s="94" t="s">
        <v>1951</v>
      </c>
      <c r="K196" s="405">
        <v>718</v>
      </c>
      <c r="L196" s="94" t="s">
        <v>2284</v>
      </c>
      <c r="M196" s="96" t="s">
        <v>2857</v>
      </c>
      <c r="N196" s="91">
        <v>45954</v>
      </c>
      <c r="O196" s="91">
        <v>47050</v>
      </c>
      <c r="P196" s="406" t="s">
        <v>3931</v>
      </c>
      <c r="Q196" s="10" t="s">
        <v>2333</v>
      </c>
      <c r="R196" s="10" t="s">
        <v>1951</v>
      </c>
      <c r="S196" s="486">
        <v>444.7</v>
      </c>
      <c r="T196" s="149"/>
      <c r="U196" s="32"/>
      <c r="V196" s="32"/>
      <c r="W196" s="32"/>
      <c r="X196" s="32"/>
      <c r="Y196" s="32"/>
      <c r="Z196" s="32" t="s">
        <v>2071</v>
      </c>
      <c r="AA196" s="32"/>
      <c r="AB196" s="24" t="s">
        <v>3932</v>
      </c>
      <c r="AC196" s="24" t="s">
        <v>3933</v>
      </c>
      <c r="AD196" s="26" t="s">
        <v>2071</v>
      </c>
      <c r="AE196" s="317">
        <f t="shared" si="3"/>
        <v>1162.7</v>
      </c>
      <c r="AF196" s="31" t="s">
        <v>3934</v>
      </c>
      <c r="AG196" s="27">
        <v>45810</v>
      </c>
      <c r="AH196" s="61"/>
    </row>
    <row r="197" spans="1:34">
      <c r="A197" s="780">
        <v>912</v>
      </c>
      <c r="B197" s="414" t="s">
        <v>120</v>
      </c>
      <c r="C197" s="421" t="s">
        <v>1239</v>
      </c>
      <c r="D197" s="8" t="s">
        <v>2285</v>
      </c>
      <c r="E197" s="636" t="s">
        <v>3935</v>
      </c>
      <c r="F197" s="637">
        <v>46036</v>
      </c>
      <c r="G197" s="637">
        <v>47132</v>
      </c>
      <c r="H197" s="636" t="s">
        <v>3935</v>
      </c>
      <c r="I197" s="421" t="s">
        <v>2785</v>
      </c>
      <c r="J197" s="421" t="s">
        <v>1951</v>
      </c>
      <c r="K197" s="1096">
        <v>430</v>
      </c>
      <c r="L197" s="96" t="s">
        <v>2284</v>
      </c>
      <c r="M197" s="174" t="s">
        <v>3042</v>
      </c>
      <c r="N197" s="391">
        <v>46244</v>
      </c>
      <c r="O197" s="237">
        <v>47340</v>
      </c>
      <c r="P197" s="380" t="s">
        <v>3936</v>
      </c>
      <c r="Q197" s="94" t="s">
        <v>2333</v>
      </c>
      <c r="R197" s="376" t="s">
        <v>1951</v>
      </c>
      <c r="S197" s="457">
        <v>413.7</v>
      </c>
      <c r="T197" s="649"/>
      <c r="U197" s="649"/>
      <c r="V197" s="649"/>
      <c r="W197" s="649"/>
      <c r="X197" s="649"/>
      <c r="Y197" s="649"/>
      <c r="Z197" s="649" t="s">
        <v>2071</v>
      </c>
      <c r="AA197" s="649"/>
      <c r="AB197" s="421" t="s">
        <v>3937</v>
      </c>
      <c r="AC197" s="421" t="s">
        <v>3938</v>
      </c>
      <c r="AD197" s="421" t="s">
        <v>2071</v>
      </c>
      <c r="AE197" s="614">
        <f t="shared" si="3"/>
        <v>843.7</v>
      </c>
      <c r="AF197" s="421" t="s">
        <v>3939</v>
      </c>
      <c r="AG197" s="422">
        <v>46244</v>
      </c>
      <c r="AH197" s="686"/>
    </row>
    <row r="198" spans="1:34">
      <c r="A198" s="889">
        <v>913</v>
      </c>
      <c r="B198" s="1080" t="s">
        <v>189</v>
      </c>
      <c r="C198" s="1080" t="s">
        <v>1240</v>
      </c>
      <c r="D198" s="367" t="s">
        <v>2284</v>
      </c>
      <c r="E198" s="367" t="s">
        <v>2857</v>
      </c>
      <c r="F198" s="378">
        <v>45965</v>
      </c>
      <c r="G198" s="378">
        <v>47061</v>
      </c>
      <c r="H198" s="368" t="s">
        <v>3940</v>
      </c>
      <c r="I198" s="367" t="s">
        <v>2333</v>
      </c>
      <c r="J198" s="367" t="s">
        <v>1951</v>
      </c>
      <c r="K198" s="405">
        <v>444.7</v>
      </c>
      <c r="L198" s="462" t="s">
        <v>1954</v>
      </c>
      <c r="M198" s="420">
        <v>2341178</v>
      </c>
      <c r="N198" s="424">
        <v>45804</v>
      </c>
      <c r="O198" s="424">
        <v>46900</v>
      </c>
      <c r="P198" s="661" t="s">
        <v>3941</v>
      </c>
      <c r="Q198" s="421" t="s">
        <v>2876</v>
      </c>
      <c r="R198" s="421" t="s">
        <v>2860</v>
      </c>
      <c r="S198" s="650">
        <v>129.99</v>
      </c>
      <c r="T198" s="382"/>
      <c r="U198" s="382"/>
      <c r="V198" s="382"/>
      <c r="W198" s="382"/>
      <c r="X198" s="382"/>
      <c r="Y198" s="382"/>
      <c r="Z198" s="382" t="s">
        <v>2071</v>
      </c>
      <c r="AA198" s="382"/>
      <c r="AB198" s="10" t="s">
        <v>3942</v>
      </c>
      <c r="AC198" s="10" t="s">
        <v>3943</v>
      </c>
      <c r="AD198" s="10" t="s">
        <v>2071</v>
      </c>
      <c r="AE198" s="92">
        <f t="shared" si="3"/>
        <v>574.69000000000005</v>
      </c>
      <c r="AF198" s="7" t="s">
        <v>3944</v>
      </c>
      <c r="AG198" s="91">
        <v>46156</v>
      </c>
      <c r="AH198" s="63" t="s">
        <v>3945</v>
      </c>
    </row>
    <row r="199" spans="1:34">
      <c r="A199" s="776">
        <v>916</v>
      </c>
      <c r="B199" s="367" t="s">
        <v>969</v>
      </c>
      <c r="C199" s="367" t="s">
        <v>1255</v>
      </c>
      <c r="D199" s="177" t="s">
        <v>2284</v>
      </c>
      <c r="E199" s="94" t="s">
        <v>2857</v>
      </c>
      <c r="F199" s="378">
        <v>45992</v>
      </c>
      <c r="G199" s="237">
        <v>47088</v>
      </c>
      <c r="H199" s="94" t="s">
        <v>3946</v>
      </c>
      <c r="I199" s="94" t="s">
        <v>2333</v>
      </c>
      <c r="J199" s="367" t="s">
        <v>1951</v>
      </c>
      <c r="K199" s="405">
        <v>433.98</v>
      </c>
      <c r="L199" s="379" t="s">
        <v>1954</v>
      </c>
      <c r="M199" s="162">
        <v>22153440</v>
      </c>
      <c r="N199" s="347">
        <v>46192</v>
      </c>
      <c r="O199" s="91">
        <v>47288</v>
      </c>
      <c r="P199" s="368">
        <v>272280221280797</v>
      </c>
      <c r="Q199" s="10" t="s">
        <v>2333</v>
      </c>
      <c r="R199" s="458" t="s">
        <v>1951</v>
      </c>
      <c r="S199" s="478">
        <v>380</v>
      </c>
      <c r="T199" s="382"/>
      <c r="U199" s="382"/>
      <c r="V199" s="382"/>
      <c r="W199" s="382"/>
      <c r="X199" s="382"/>
      <c r="Y199" s="382"/>
      <c r="Z199" s="382" t="s">
        <v>2071</v>
      </c>
      <c r="AA199" s="382"/>
      <c r="AB199" s="10" t="s">
        <v>3947</v>
      </c>
      <c r="AC199" s="10" t="s">
        <v>3948</v>
      </c>
      <c r="AD199" s="16" t="s">
        <v>2071</v>
      </c>
      <c r="AE199" s="92">
        <f t="shared" si="3"/>
        <v>813.98</v>
      </c>
      <c r="AF199" s="96" t="s">
        <v>3949</v>
      </c>
      <c r="AG199" s="485">
        <v>46192</v>
      </c>
      <c r="AH199" s="104"/>
    </row>
    <row r="200" spans="1:34">
      <c r="A200" s="784">
        <v>919</v>
      </c>
      <c r="B200" s="3" t="s">
        <v>64</v>
      </c>
      <c r="C200" s="8" t="s">
        <v>173</v>
      </c>
      <c r="D200" s="3" t="s">
        <v>2284</v>
      </c>
      <c r="E200" s="3" t="s">
        <v>2857</v>
      </c>
      <c r="F200" s="371">
        <v>46009</v>
      </c>
      <c r="G200" s="371">
        <v>47105</v>
      </c>
      <c r="H200" s="81" t="s">
        <v>3950</v>
      </c>
      <c r="I200" s="3" t="s">
        <v>2333</v>
      </c>
      <c r="J200" s="8" t="s">
        <v>1951</v>
      </c>
      <c r="K200" s="439">
        <v>466.79</v>
      </c>
      <c r="L200" s="3" t="s">
        <v>1954</v>
      </c>
      <c r="M200" s="162">
        <v>22153440</v>
      </c>
      <c r="N200" s="295">
        <v>46182</v>
      </c>
      <c r="O200" s="295">
        <v>47278</v>
      </c>
      <c r="P200" s="81">
        <v>830000221273193</v>
      </c>
      <c r="Q200" s="3" t="s">
        <v>2333</v>
      </c>
      <c r="R200" s="3" t="s">
        <v>1951</v>
      </c>
      <c r="S200" s="439">
        <v>380</v>
      </c>
      <c r="T200" s="373"/>
      <c r="U200" s="349"/>
      <c r="V200" s="349"/>
      <c r="W200" s="349"/>
      <c r="X200" s="349"/>
      <c r="Y200" s="349"/>
      <c r="Z200" s="349" t="s">
        <v>2071</v>
      </c>
      <c r="AA200" s="349"/>
      <c r="AB200" s="8" t="s">
        <v>3951</v>
      </c>
      <c r="AC200" s="8" t="s">
        <v>3952</v>
      </c>
      <c r="AD200" s="83" t="s">
        <v>2071</v>
      </c>
      <c r="AE200" s="67">
        <f t="shared" si="3"/>
        <v>846.79</v>
      </c>
      <c r="AF200" s="68" t="s">
        <v>3953</v>
      </c>
      <c r="AG200" s="78">
        <v>46182</v>
      </c>
      <c r="AH200" s="65"/>
    </row>
    <row r="201" spans="1:34">
      <c r="A201" s="780">
        <v>921</v>
      </c>
      <c r="B201" s="296" t="s">
        <v>112</v>
      </c>
      <c r="C201" s="10" t="s">
        <v>1268</v>
      </c>
      <c r="D201" s="10" t="s">
        <v>2285</v>
      </c>
      <c r="E201" s="1010" t="s">
        <v>3954</v>
      </c>
      <c r="F201" s="1011">
        <v>45904</v>
      </c>
      <c r="G201" s="240">
        <v>47000</v>
      </c>
      <c r="H201" s="648" t="s">
        <v>3955</v>
      </c>
      <c r="I201" s="10" t="s">
        <v>3523</v>
      </c>
      <c r="J201" s="10" t="s">
        <v>2860</v>
      </c>
      <c r="K201" s="571">
        <v>450.68</v>
      </c>
      <c r="L201" s="174" t="s">
        <v>1956</v>
      </c>
      <c r="M201" s="407" t="s">
        <v>2917</v>
      </c>
      <c r="N201" s="378">
        <v>45936</v>
      </c>
      <c r="O201" s="378">
        <v>47032</v>
      </c>
      <c r="P201" s="368">
        <v>10079717</v>
      </c>
      <c r="Q201" s="367" t="s">
        <v>2333</v>
      </c>
      <c r="R201" s="367" t="s">
        <v>1951</v>
      </c>
      <c r="S201" s="519">
        <v>360</v>
      </c>
      <c r="T201" s="53"/>
      <c r="U201" s="53"/>
      <c r="V201" s="53"/>
      <c r="W201" s="53"/>
      <c r="X201" s="53"/>
      <c r="Y201" s="53"/>
      <c r="Z201" s="36" t="s">
        <v>2071</v>
      </c>
      <c r="AA201" s="53"/>
      <c r="AB201" s="35" t="s">
        <v>3956</v>
      </c>
      <c r="AC201" s="35" t="s">
        <v>3957</v>
      </c>
      <c r="AD201" s="41"/>
      <c r="AE201" s="474">
        <f t="shared" si="3"/>
        <v>810.68000000000006</v>
      </c>
      <c r="AF201" s="44" t="s">
        <v>3958</v>
      </c>
      <c r="AG201" s="39"/>
      <c r="AH201" s="50"/>
    </row>
    <row r="202" spans="1:34">
      <c r="A202" s="775">
        <v>922</v>
      </c>
      <c r="B202" s="379" t="s">
        <v>459</v>
      </c>
      <c r="C202" s="94" t="s">
        <v>1269</v>
      </c>
      <c r="D202" s="367" t="s">
        <v>2284</v>
      </c>
      <c r="E202" s="385" t="s">
        <v>2857</v>
      </c>
      <c r="F202" s="771">
        <v>45995</v>
      </c>
      <c r="G202" s="771">
        <v>47091</v>
      </c>
      <c r="H202" s="772" t="s">
        <v>3959</v>
      </c>
      <c r="I202" s="94" t="s">
        <v>1964</v>
      </c>
      <c r="J202" s="94" t="s">
        <v>1951</v>
      </c>
      <c r="K202" s="92">
        <v>453.09</v>
      </c>
      <c r="L202" s="3" t="s">
        <v>2285</v>
      </c>
      <c r="M202" s="579" t="s">
        <v>3960</v>
      </c>
      <c r="N202" s="580">
        <v>45980</v>
      </c>
      <c r="O202" s="580">
        <v>47076</v>
      </c>
      <c r="P202" s="579" t="s">
        <v>3961</v>
      </c>
      <c r="Q202" s="3" t="s">
        <v>3310</v>
      </c>
      <c r="R202" s="3" t="s">
        <v>1951</v>
      </c>
      <c r="S202" s="439">
        <v>647.62</v>
      </c>
      <c r="T202" s="381"/>
      <c r="U202" s="184"/>
      <c r="V202" s="184"/>
      <c r="W202" s="184"/>
      <c r="X202" s="184"/>
      <c r="Y202" s="184"/>
      <c r="Z202" s="349" t="s">
        <v>2071</v>
      </c>
      <c r="AA202" s="184"/>
      <c r="AB202" s="8" t="s">
        <v>3962</v>
      </c>
      <c r="AC202" s="8" t="s">
        <v>3963</v>
      </c>
      <c r="AD202" s="8"/>
      <c r="AE202" s="67">
        <f t="shared" si="3"/>
        <v>1100.71</v>
      </c>
      <c r="AF202" s="8" t="s">
        <v>3964</v>
      </c>
      <c r="AG202" s="413">
        <v>45995</v>
      </c>
      <c r="AH202" s="65"/>
    </row>
    <row r="203" spans="1:34">
      <c r="A203" s="785">
        <v>924</v>
      </c>
      <c r="B203" s="154" t="s">
        <v>58</v>
      </c>
      <c r="C203" s="17" t="s">
        <v>1279</v>
      </c>
      <c r="D203" s="17" t="s">
        <v>2286</v>
      </c>
      <c r="E203" s="154" t="s">
        <v>2865</v>
      </c>
      <c r="F203" s="84">
        <v>45951</v>
      </c>
      <c r="G203" s="387">
        <v>47047</v>
      </c>
      <c r="H203" s="388">
        <v>11019442</v>
      </c>
      <c r="I203" s="17" t="s">
        <v>2785</v>
      </c>
      <c r="J203" s="17" t="s">
        <v>2866</v>
      </c>
      <c r="K203" s="994">
        <v>385</v>
      </c>
      <c r="L203" s="442" t="s">
        <v>2287</v>
      </c>
      <c r="M203" s="768">
        <v>2194585</v>
      </c>
      <c r="N203" s="454">
        <v>45572</v>
      </c>
      <c r="O203" s="454">
        <v>46302</v>
      </c>
      <c r="P203" s="512">
        <v>2194585</v>
      </c>
      <c r="Q203" s="455" t="s">
        <v>2859</v>
      </c>
      <c r="R203" s="455" t="s">
        <v>2860</v>
      </c>
      <c r="S203" s="432">
        <v>298.89999999999998</v>
      </c>
      <c r="T203" s="374"/>
      <c r="U203" s="382"/>
      <c r="V203" s="382"/>
      <c r="W203" s="382"/>
      <c r="X203" s="382"/>
      <c r="Y203" s="461"/>
      <c r="Z203" s="382" t="s">
        <v>2071</v>
      </c>
      <c r="AA203" s="461"/>
      <c r="AB203" s="10" t="s">
        <v>3965</v>
      </c>
      <c r="AC203" s="10" t="s">
        <v>3966</v>
      </c>
      <c r="AD203" s="16" t="s">
        <v>2071</v>
      </c>
      <c r="AE203" s="92">
        <f t="shared" si="3"/>
        <v>683.9</v>
      </c>
      <c r="AF203" s="96" t="s">
        <v>3967</v>
      </c>
      <c r="AG203" s="78">
        <v>45951</v>
      </c>
      <c r="AH203" s="65"/>
    </row>
    <row r="204" spans="1:34">
      <c r="A204" s="778">
        <v>925</v>
      </c>
      <c r="B204" s="154" t="s">
        <v>239</v>
      </c>
      <c r="C204" s="17" t="s">
        <v>238</v>
      </c>
      <c r="D204" s="154" t="s">
        <v>2284</v>
      </c>
      <c r="E204" s="154" t="s">
        <v>2857</v>
      </c>
      <c r="F204" s="295">
        <v>45996</v>
      </c>
      <c r="G204" s="78">
        <v>47092</v>
      </c>
      <c r="H204" s="81" t="s">
        <v>3968</v>
      </c>
      <c r="I204" s="8" t="s">
        <v>2333</v>
      </c>
      <c r="J204" s="8" t="s">
        <v>1951</v>
      </c>
      <c r="K204" s="439">
        <v>450.25</v>
      </c>
      <c r="L204" s="17" t="s">
        <v>1954</v>
      </c>
      <c r="M204" s="169">
        <v>22153440</v>
      </c>
      <c r="N204" s="295">
        <v>46176</v>
      </c>
      <c r="O204" s="78">
        <v>47272</v>
      </c>
      <c r="P204" s="81">
        <v>850000221284295</v>
      </c>
      <c r="Q204" s="3" t="s">
        <v>2333</v>
      </c>
      <c r="R204" s="8" t="s">
        <v>1951</v>
      </c>
      <c r="S204" s="457">
        <v>380</v>
      </c>
      <c r="T204" s="821" t="s">
        <v>3969</v>
      </c>
      <c r="U204" s="8" t="s">
        <v>2878</v>
      </c>
      <c r="V204" s="184" t="s">
        <v>2024</v>
      </c>
      <c r="W204" s="184" t="s">
        <v>3970</v>
      </c>
      <c r="X204" s="184" t="s">
        <v>2880</v>
      </c>
      <c r="Y204" s="349"/>
      <c r="Z204" s="349" t="s">
        <v>2071</v>
      </c>
      <c r="AA204" s="349"/>
      <c r="AB204" s="8" t="s">
        <v>3971</v>
      </c>
      <c r="AC204" s="8" t="s">
        <v>3972</v>
      </c>
      <c r="AD204" s="83" t="s">
        <v>2071</v>
      </c>
      <c r="AE204" s="67">
        <f t="shared" si="3"/>
        <v>830.25</v>
      </c>
      <c r="AF204" s="68" t="s">
        <v>3973</v>
      </c>
      <c r="AG204" s="78">
        <v>46167</v>
      </c>
      <c r="AH204" s="65" t="s">
        <v>3974</v>
      </c>
    </row>
    <row r="205" spans="1:34">
      <c r="A205" s="782">
        <v>926</v>
      </c>
      <c r="B205" s="3" t="s">
        <v>112</v>
      </c>
      <c r="C205" s="3" t="s">
        <v>466</v>
      </c>
      <c r="D205" s="3" t="s">
        <v>2284</v>
      </c>
      <c r="E205" s="3" t="s">
        <v>2857</v>
      </c>
      <c r="F205" s="240">
        <v>46028</v>
      </c>
      <c r="G205" s="347">
        <v>47124</v>
      </c>
      <c r="H205" s="406" t="s">
        <v>3975</v>
      </c>
      <c r="I205" s="174" t="s">
        <v>2333</v>
      </c>
      <c r="J205" s="10" t="s">
        <v>1951</v>
      </c>
      <c r="K205" s="635">
        <v>453.09</v>
      </c>
      <c r="L205" s="3" t="s">
        <v>1954</v>
      </c>
      <c r="M205" s="8">
        <v>22153440</v>
      </c>
      <c r="N205" s="240">
        <v>46203</v>
      </c>
      <c r="O205" s="347">
        <v>47299</v>
      </c>
      <c r="P205" s="348">
        <v>811150221285390</v>
      </c>
      <c r="Q205" s="3" t="s">
        <v>2333</v>
      </c>
      <c r="R205" s="8" t="s">
        <v>1951</v>
      </c>
      <c r="S205" s="457">
        <v>380</v>
      </c>
      <c r="T205" s="448"/>
      <c r="U205" s="438"/>
      <c r="V205" s="438"/>
      <c r="W205" s="438"/>
      <c r="X205" s="438"/>
      <c r="Y205" s="438"/>
      <c r="Z205" s="438" t="s">
        <v>2071</v>
      </c>
      <c r="AA205" s="438"/>
      <c r="AB205" s="8" t="s">
        <v>3976</v>
      </c>
      <c r="AC205" s="8" t="s">
        <v>3977</v>
      </c>
      <c r="AD205" s="83" t="s">
        <v>2071</v>
      </c>
      <c r="AE205" s="67">
        <f t="shared" si="3"/>
        <v>833.08999999999992</v>
      </c>
      <c r="AF205" s="68" t="s">
        <v>3978</v>
      </c>
      <c r="AG205" s="78">
        <v>46203</v>
      </c>
      <c r="AH205" s="65"/>
    </row>
    <row r="206" spans="1:34">
      <c r="A206" s="776">
        <v>929</v>
      </c>
      <c r="B206" s="367" t="s">
        <v>251</v>
      </c>
      <c r="C206" s="367" t="s">
        <v>428</v>
      </c>
      <c r="D206" s="367" t="s">
        <v>1954</v>
      </c>
      <c r="E206" s="385" t="s">
        <v>3979</v>
      </c>
      <c r="F206" s="378">
        <v>45971</v>
      </c>
      <c r="G206" s="378">
        <v>47067</v>
      </c>
      <c r="H206" s="662" t="s">
        <v>3980</v>
      </c>
      <c r="I206" s="367" t="s">
        <v>3402</v>
      </c>
      <c r="J206" s="367" t="s">
        <v>1951</v>
      </c>
      <c r="K206" s="405">
        <v>480</v>
      </c>
      <c r="L206" s="367" t="s">
        <v>2286</v>
      </c>
      <c r="M206" s="367" t="s">
        <v>2865</v>
      </c>
      <c r="N206" s="378">
        <v>45926</v>
      </c>
      <c r="O206" s="378">
        <v>47022</v>
      </c>
      <c r="P206" s="367">
        <v>31003594</v>
      </c>
      <c r="Q206" s="367" t="s">
        <v>2785</v>
      </c>
      <c r="R206" s="367" t="s">
        <v>2866</v>
      </c>
      <c r="S206" s="432">
        <v>385</v>
      </c>
      <c r="T206" s="373"/>
      <c r="U206" s="349"/>
      <c r="V206" s="349"/>
      <c r="W206" s="349"/>
      <c r="X206" s="349"/>
      <c r="Y206" s="349"/>
      <c r="Z206" s="349" t="s">
        <v>2071</v>
      </c>
      <c r="AA206" s="349"/>
      <c r="AB206" s="68" t="s">
        <v>3981</v>
      </c>
      <c r="AC206" s="8" t="s">
        <v>3982</v>
      </c>
      <c r="AD206" s="83" t="s">
        <v>2071</v>
      </c>
      <c r="AE206" s="67">
        <f t="shared" si="3"/>
        <v>865</v>
      </c>
      <c r="AF206" s="69" t="s">
        <v>3983</v>
      </c>
      <c r="AG206" s="84">
        <v>45971</v>
      </c>
      <c r="AH206" s="480"/>
    </row>
    <row r="207" spans="1:34">
      <c r="A207" s="780">
        <v>930</v>
      </c>
      <c r="B207" s="217" t="s">
        <v>263</v>
      </c>
      <c r="C207" s="3" t="s">
        <v>1044</v>
      </c>
      <c r="D207" s="3" t="s">
        <v>1954</v>
      </c>
      <c r="E207" s="3" t="s">
        <v>3984</v>
      </c>
      <c r="F207" s="387">
        <v>46003</v>
      </c>
      <c r="G207" s="295">
        <v>47099</v>
      </c>
      <c r="H207" s="298">
        <v>413610211865691</v>
      </c>
      <c r="I207" s="3" t="s">
        <v>2333</v>
      </c>
      <c r="J207" s="3" t="s">
        <v>1951</v>
      </c>
      <c r="K207" s="428">
        <v>380</v>
      </c>
      <c r="L207" s="8" t="s">
        <v>2299</v>
      </c>
      <c r="M207" s="576" t="s">
        <v>2940</v>
      </c>
      <c r="N207" s="78">
        <v>46080</v>
      </c>
      <c r="O207" s="78">
        <v>46810</v>
      </c>
      <c r="P207" s="8" t="s">
        <v>3985</v>
      </c>
      <c r="Q207" s="8" t="s">
        <v>3143</v>
      </c>
      <c r="R207" s="8" t="s">
        <v>2860</v>
      </c>
      <c r="S207" s="617">
        <v>250</v>
      </c>
      <c r="T207" s="819" t="s">
        <v>3986</v>
      </c>
      <c r="U207" s="382" t="s">
        <v>2934</v>
      </c>
      <c r="V207" s="408" t="s">
        <v>2370</v>
      </c>
      <c r="W207" s="11" t="s">
        <v>3987</v>
      </c>
      <c r="X207" s="374" t="s">
        <v>2880</v>
      </c>
      <c r="Y207" s="461">
        <v>0</v>
      </c>
      <c r="Z207" s="374" t="s">
        <v>2071</v>
      </c>
      <c r="AA207" s="461">
        <v>0</v>
      </c>
      <c r="AB207" s="8" t="s">
        <v>3988</v>
      </c>
      <c r="AC207" s="8" t="s">
        <v>3989</v>
      </c>
      <c r="AD207" s="83"/>
      <c r="AE207" s="80">
        <f t="shared" si="3"/>
        <v>630</v>
      </c>
      <c r="AF207" s="8" t="s">
        <v>3990</v>
      </c>
      <c r="AG207" s="78">
        <v>46080</v>
      </c>
      <c r="AH207" s="7"/>
    </row>
    <row r="208" spans="1:34">
      <c r="A208" s="802">
        <v>934</v>
      </c>
      <c r="B208" s="379" t="s">
        <v>159</v>
      </c>
      <c r="C208" s="367" t="s">
        <v>158</v>
      </c>
      <c r="D208" s="385" t="s">
        <v>2284</v>
      </c>
      <c r="E208" s="376" t="s">
        <v>2857</v>
      </c>
      <c r="F208" s="84">
        <v>45951</v>
      </c>
      <c r="G208" s="645">
        <v>47047</v>
      </c>
      <c r="H208" s="380" t="s">
        <v>3991</v>
      </c>
      <c r="I208" s="94" t="s">
        <v>1964</v>
      </c>
      <c r="J208" s="94" t="s">
        <v>1951</v>
      </c>
      <c r="K208" s="405">
        <v>444.7</v>
      </c>
      <c r="L208" s="62" t="s">
        <v>1956</v>
      </c>
      <c r="M208" s="48" t="s">
        <v>3190</v>
      </c>
      <c r="N208" s="58">
        <v>44914</v>
      </c>
      <c r="O208" s="869" t="s">
        <v>1968</v>
      </c>
      <c r="P208" s="49">
        <v>8959605</v>
      </c>
      <c r="Q208" s="48" t="s">
        <v>2333</v>
      </c>
      <c r="R208" s="48" t="s">
        <v>1951</v>
      </c>
      <c r="S208" s="410">
        <v>642.21</v>
      </c>
      <c r="T208" s="382"/>
      <c r="U208" s="382"/>
      <c r="V208" s="382"/>
      <c r="W208" s="382"/>
      <c r="X208" s="382"/>
      <c r="Y208" s="382"/>
      <c r="Z208" s="349" t="s">
        <v>2071</v>
      </c>
      <c r="AA208" s="349"/>
      <c r="AB208" s="8" t="s">
        <v>3992</v>
      </c>
      <c r="AC208" s="8" t="s">
        <v>3993</v>
      </c>
      <c r="AD208" s="83" t="s">
        <v>2071</v>
      </c>
      <c r="AE208" s="67">
        <f t="shared" si="3"/>
        <v>1086.9100000000001</v>
      </c>
      <c r="AF208" s="96" t="s">
        <v>3994</v>
      </c>
      <c r="AG208" s="91">
        <v>45951</v>
      </c>
      <c r="AH208" s="433"/>
    </row>
    <row r="209" spans="1:34">
      <c r="A209" s="778">
        <v>936</v>
      </c>
      <c r="B209" s="3" t="s">
        <v>58</v>
      </c>
      <c r="C209" s="3" t="s">
        <v>3995</v>
      </c>
      <c r="D209" s="3" t="s">
        <v>1954</v>
      </c>
      <c r="E209" s="8">
        <v>22153440</v>
      </c>
      <c r="F209" s="78">
        <v>46174</v>
      </c>
      <c r="G209" s="78">
        <v>47270</v>
      </c>
      <c r="H209" s="298">
        <v>112914666044097</v>
      </c>
      <c r="I209" s="3" t="s">
        <v>2333</v>
      </c>
      <c r="J209" s="3" t="s">
        <v>1951</v>
      </c>
      <c r="K209" s="439">
        <v>380</v>
      </c>
      <c r="L209" s="68" t="s">
        <v>2284</v>
      </c>
      <c r="M209" s="218" t="s">
        <v>2918</v>
      </c>
      <c r="N209" s="78">
        <v>45958</v>
      </c>
      <c r="O209" s="89">
        <v>47054</v>
      </c>
      <c r="P209" s="81" t="s">
        <v>3996</v>
      </c>
      <c r="Q209" s="8" t="s">
        <v>3179</v>
      </c>
      <c r="R209" s="8" t="s">
        <v>2860</v>
      </c>
      <c r="S209" s="695">
        <v>227.83</v>
      </c>
      <c r="T209" s="482"/>
      <c r="U209" s="482"/>
      <c r="V209" s="482"/>
      <c r="W209" s="482"/>
      <c r="X209" s="482"/>
      <c r="Y209" s="481"/>
      <c r="Z209" s="349" t="s">
        <v>2071</v>
      </c>
      <c r="AA209" s="481"/>
      <c r="AB209" s="8" t="s">
        <v>3997</v>
      </c>
      <c r="AC209" s="8" t="s">
        <v>3998</v>
      </c>
      <c r="AD209" s="83"/>
      <c r="AE209" s="67">
        <f t="shared" si="3"/>
        <v>607.83000000000004</v>
      </c>
      <c r="AF209" s="68" t="s">
        <v>3999</v>
      </c>
      <c r="AG209" s="89">
        <v>46174</v>
      </c>
      <c r="AH209" s="7"/>
    </row>
    <row r="210" spans="1:34">
      <c r="A210" s="784">
        <v>938</v>
      </c>
      <c r="B210" s="154" t="s">
        <v>314</v>
      </c>
      <c r="C210" s="154" t="s">
        <v>309</v>
      </c>
      <c r="D210" s="154" t="s">
        <v>2284</v>
      </c>
      <c r="E210" s="3" t="s">
        <v>2857</v>
      </c>
      <c r="F210" s="387">
        <v>45999</v>
      </c>
      <c r="G210" s="387">
        <v>47095</v>
      </c>
      <c r="H210" s="469" t="s">
        <v>4000</v>
      </c>
      <c r="I210" s="154" t="s">
        <v>2333</v>
      </c>
      <c r="J210" s="154" t="s">
        <v>1951</v>
      </c>
      <c r="K210" s="509">
        <v>450.25</v>
      </c>
      <c r="L210" s="69" t="s">
        <v>1954</v>
      </c>
      <c r="M210" s="17">
        <v>22153440</v>
      </c>
      <c r="N210" s="84">
        <v>46174</v>
      </c>
      <c r="O210" s="485">
        <v>47270</v>
      </c>
      <c r="P210" s="81">
        <v>920000221282998</v>
      </c>
      <c r="Q210" s="3" t="s">
        <v>1964</v>
      </c>
      <c r="R210" s="3" t="s">
        <v>1951</v>
      </c>
      <c r="S210" s="617">
        <v>380</v>
      </c>
      <c r="T210" s="373"/>
      <c r="U210" s="373"/>
      <c r="V210" s="373"/>
      <c r="W210" s="373"/>
      <c r="X210" s="373"/>
      <c r="Y210" s="349"/>
      <c r="Z210" s="349" t="s">
        <v>2071</v>
      </c>
      <c r="AA210" s="349"/>
      <c r="AB210" s="8" t="s">
        <v>4001</v>
      </c>
      <c r="AC210" s="8" t="s">
        <v>4002</v>
      </c>
      <c r="AD210" s="83" t="s">
        <v>2071</v>
      </c>
      <c r="AE210" s="67">
        <f t="shared" si="3"/>
        <v>830.25</v>
      </c>
      <c r="AF210" s="68" t="s">
        <v>4003</v>
      </c>
      <c r="AG210" s="89">
        <v>46174</v>
      </c>
      <c r="AH210" s="7" t="s">
        <v>4004</v>
      </c>
    </row>
    <row r="211" spans="1:34">
      <c r="A211" s="323">
        <v>939</v>
      </c>
      <c r="B211" s="3" t="s">
        <v>58</v>
      </c>
      <c r="C211" s="8" t="s">
        <v>95</v>
      </c>
      <c r="D211" s="3" t="s">
        <v>2286</v>
      </c>
      <c r="E211" s="629" t="s">
        <v>2865</v>
      </c>
      <c r="F211" s="78">
        <v>45950</v>
      </c>
      <c r="G211" s="295">
        <v>47046</v>
      </c>
      <c r="H211" s="8">
        <v>11019431</v>
      </c>
      <c r="I211" s="8" t="s">
        <v>2785</v>
      </c>
      <c r="J211" s="8" t="s">
        <v>2866</v>
      </c>
      <c r="K211" s="439">
        <v>385</v>
      </c>
      <c r="L211" s="417" t="s">
        <v>2287</v>
      </c>
      <c r="M211" s="732" t="s">
        <v>4005</v>
      </c>
      <c r="N211" s="415">
        <v>45572</v>
      </c>
      <c r="O211" s="415">
        <v>46302</v>
      </c>
      <c r="P211" s="768">
        <v>2194617</v>
      </c>
      <c r="Q211" s="472" t="s">
        <v>2867</v>
      </c>
      <c r="R211" s="472" t="s">
        <v>2860</v>
      </c>
      <c r="S211" s="586">
        <v>304.02</v>
      </c>
      <c r="T211" s="1084"/>
      <c r="U211" s="8"/>
      <c r="V211" s="377"/>
      <c r="X211" s="373"/>
      <c r="Y211" s="184"/>
      <c r="Z211" s="349" t="s">
        <v>2071</v>
      </c>
      <c r="AA211" s="184"/>
      <c r="AB211" s="8" t="s">
        <v>4006</v>
      </c>
      <c r="AC211" s="8" t="s">
        <v>4007</v>
      </c>
      <c r="AD211" s="83" t="s">
        <v>2071</v>
      </c>
      <c r="AE211" s="67">
        <f t="shared" si="3"/>
        <v>689.02</v>
      </c>
      <c r="AF211" s="68" t="s">
        <v>4008</v>
      </c>
      <c r="AG211" s="78">
        <v>46232</v>
      </c>
      <c r="AH211" s="433"/>
    </row>
    <row r="212" spans="1:34">
      <c r="A212" s="775">
        <v>943</v>
      </c>
      <c r="B212" s="296" t="s">
        <v>328</v>
      </c>
      <c r="C212" s="10" t="s">
        <v>1331</v>
      </c>
      <c r="D212" s="174" t="s">
        <v>2284</v>
      </c>
      <c r="E212" s="94" t="s">
        <v>2857</v>
      </c>
      <c r="F212" s="641">
        <v>45945</v>
      </c>
      <c r="G212" s="378">
        <v>47041</v>
      </c>
      <c r="H212" s="380" t="s">
        <v>4009</v>
      </c>
      <c r="I212" s="94" t="s">
        <v>2333</v>
      </c>
      <c r="J212" s="94" t="s">
        <v>1951</v>
      </c>
      <c r="K212" s="405">
        <v>444.7</v>
      </c>
      <c r="L212" s="390" t="s">
        <v>2290</v>
      </c>
      <c r="M212" s="94">
        <v>135939</v>
      </c>
      <c r="N212" s="237">
        <v>45218</v>
      </c>
      <c r="O212" s="94" t="s">
        <v>4010</v>
      </c>
      <c r="P212" s="388" t="s">
        <v>4011</v>
      </c>
      <c r="Q212" s="17" t="s">
        <v>3179</v>
      </c>
      <c r="R212" s="17" t="s">
        <v>2860</v>
      </c>
      <c r="S212" s="87">
        <v>189</v>
      </c>
      <c r="T212" s="349"/>
      <c r="U212" s="349"/>
      <c r="V212" s="349"/>
      <c r="W212" s="349"/>
      <c r="X212" s="349"/>
      <c r="Y212" s="349"/>
      <c r="Z212" s="349" t="s">
        <v>2071</v>
      </c>
      <c r="AA212" s="349"/>
      <c r="AB212" s="8" t="s">
        <v>4012</v>
      </c>
      <c r="AC212" s="8" t="s">
        <v>4013</v>
      </c>
      <c r="AD212" s="83"/>
      <c r="AE212" s="67">
        <f t="shared" si="3"/>
        <v>633.70000000000005</v>
      </c>
      <c r="AF212" s="68" t="s">
        <v>4014</v>
      </c>
      <c r="AG212" s="78">
        <v>45950</v>
      </c>
      <c r="AH212" s="104"/>
    </row>
    <row r="213" spans="1:34">
      <c r="A213" s="776">
        <v>944</v>
      </c>
      <c r="B213" s="367" t="s">
        <v>71</v>
      </c>
      <c r="C213" s="94" t="s">
        <v>70</v>
      </c>
      <c r="D213" s="663" t="s">
        <v>2284</v>
      </c>
      <c r="E213" s="17" t="s">
        <v>2857</v>
      </c>
      <c r="F213" s="84">
        <v>45993</v>
      </c>
      <c r="G213" s="387">
        <v>47089</v>
      </c>
      <c r="H213" s="388" t="s">
        <v>4015</v>
      </c>
      <c r="I213" s="17" t="s">
        <v>2333</v>
      </c>
      <c r="J213" s="17" t="s">
        <v>1951</v>
      </c>
      <c r="K213" s="468">
        <v>464.78</v>
      </c>
      <c r="L213" s="17" t="s">
        <v>1954</v>
      </c>
      <c r="M213" s="162">
        <v>22153440</v>
      </c>
      <c r="N213" s="84">
        <v>46198</v>
      </c>
      <c r="O213" s="84">
        <v>47294</v>
      </c>
      <c r="P213" s="388">
        <v>860000221279197</v>
      </c>
      <c r="Q213" s="17" t="s">
        <v>2333</v>
      </c>
      <c r="R213" s="17" t="s">
        <v>1951</v>
      </c>
      <c r="S213" s="593">
        <v>380</v>
      </c>
      <c r="T213" s="373"/>
      <c r="U213" s="349"/>
      <c r="V213" s="349"/>
      <c r="W213" s="349"/>
      <c r="X213" s="349"/>
      <c r="Y213" s="349"/>
      <c r="Z213" s="349" t="s">
        <v>2071</v>
      </c>
      <c r="AA213" s="349"/>
      <c r="AB213" s="8" t="s">
        <v>4016</v>
      </c>
      <c r="AC213" s="8" t="s">
        <v>4017</v>
      </c>
      <c r="AD213" s="83" t="s">
        <v>2071</v>
      </c>
      <c r="AE213" s="67">
        <f t="shared" si="3"/>
        <v>844.78</v>
      </c>
      <c r="AF213" s="68" t="s">
        <v>4018</v>
      </c>
      <c r="AG213" s="78">
        <v>46198</v>
      </c>
      <c r="AH213" s="65"/>
    </row>
    <row r="214" spans="1:34">
      <c r="A214" s="780">
        <v>951</v>
      </c>
      <c r="B214" s="154" t="s">
        <v>77</v>
      </c>
      <c r="C214" s="17" t="s">
        <v>2891</v>
      </c>
      <c r="D214" s="154" t="s">
        <v>2284</v>
      </c>
      <c r="E214" s="154" t="s">
        <v>2857</v>
      </c>
      <c r="F214" s="387">
        <v>45965</v>
      </c>
      <c r="G214" s="387">
        <v>47061</v>
      </c>
      <c r="H214" s="388" t="s">
        <v>4019</v>
      </c>
      <c r="I214" s="154" t="s">
        <v>2333</v>
      </c>
      <c r="J214" s="154" t="s">
        <v>1951</v>
      </c>
      <c r="K214" s="509">
        <v>467.8</v>
      </c>
      <c r="L214" s="17" t="s">
        <v>1954</v>
      </c>
      <c r="M214" s="17" t="s">
        <v>2874</v>
      </c>
      <c r="N214" s="84">
        <v>46125</v>
      </c>
      <c r="O214" s="84">
        <v>47221</v>
      </c>
      <c r="P214" s="273" t="s">
        <v>4020</v>
      </c>
      <c r="Q214" s="17" t="s">
        <v>2333</v>
      </c>
      <c r="R214" s="17" t="s">
        <v>1951</v>
      </c>
      <c r="S214" s="509">
        <v>380</v>
      </c>
      <c r="T214" s="821" t="s">
        <v>4021</v>
      </c>
      <c r="U214" s="349" t="s">
        <v>2878</v>
      </c>
      <c r="V214" s="349" t="s">
        <v>2010</v>
      </c>
      <c r="W214" s="8">
        <v>11972945060</v>
      </c>
      <c r="X214" s="373" t="s">
        <v>2880</v>
      </c>
      <c r="Y214" s="481"/>
      <c r="Z214" s="349" t="s">
        <v>2071</v>
      </c>
      <c r="AA214" s="481"/>
      <c r="AB214" s="8" t="s">
        <v>4022</v>
      </c>
      <c r="AC214" s="8" t="s">
        <v>4023</v>
      </c>
      <c r="AD214" s="83" t="s">
        <v>2071</v>
      </c>
      <c r="AE214" s="67">
        <f t="shared" si="3"/>
        <v>847.8</v>
      </c>
      <c r="AF214" s="68" t="s">
        <v>4024</v>
      </c>
      <c r="AG214" s="78">
        <v>46125</v>
      </c>
      <c r="AH214" s="480"/>
    </row>
    <row r="215" spans="1:34">
      <c r="A215" s="778">
        <v>957</v>
      </c>
      <c r="B215" s="414" t="s">
        <v>314</v>
      </c>
      <c r="C215" s="421" t="s">
        <v>309</v>
      </c>
      <c r="D215" s="421" t="s">
        <v>2284</v>
      </c>
      <c r="E215" s="3" t="s">
        <v>2857</v>
      </c>
      <c r="F215" s="422">
        <v>45951</v>
      </c>
      <c r="G215" s="422">
        <v>47047</v>
      </c>
      <c r="H215" s="421" t="s">
        <v>4025</v>
      </c>
      <c r="I215" s="421" t="s">
        <v>2876</v>
      </c>
      <c r="J215" s="421" t="s">
        <v>2860</v>
      </c>
      <c r="K215" s="959">
        <v>233.52</v>
      </c>
      <c r="L215" s="68" t="s">
        <v>1954</v>
      </c>
      <c r="M215" s="8">
        <v>22153440</v>
      </c>
      <c r="N215" s="78">
        <v>46174</v>
      </c>
      <c r="O215" s="89">
        <v>47270</v>
      </c>
      <c r="P215" s="81">
        <v>920000221281892</v>
      </c>
      <c r="Q215" s="3" t="s">
        <v>1964</v>
      </c>
      <c r="R215" s="3" t="s">
        <v>1951</v>
      </c>
      <c r="S215" s="617">
        <v>380</v>
      </c>
      <c r="T215" s="448"/>
      <c r="U215" s="438"/>
      <c r="V215" s="438"/>
      <c r="W215" s="438"/>
      <c r="X215" s="438"/>
      <c r="Y215" s="438"/>
      <c r="Z215" s="349" t="s">
        <v>2071</v>
      </c>
      <c r="AA215" s="349"/>
      <c r="AB215" s="8" t="s">
        <v>4026</v>
      </c>
      <c r="AC215" s="8" t="s">
        <v>4027</v>
      </c>
      <c r="AD215" s="83"/>
      <c r="AE215" s="67">
        <f t="shared" si="3"/>
        <v>613.52</v>
      </c>
      <c r="AF215" s="68" t="s">
        <v>4028</v>
      </c>
      <c r="AG215" s="89">
        <v>46174</v>
      </c>
      <c r="AH215" s="7"/>
    </row>
    <row r="216" spans="1:34">
      <c r="A216" s="319">
        <v>958</v>
      </c>
      <c r="B216" s="851" t="s">
        <v>120</v>
      </c>
      <c r="C216" s="708" t="s">
        <v>435</v>
      </c>
      <c r="D216" s="708" t="s">
        <v>2293</v>
      </c>
      <c r="E216" s="972" t="s">
        <v>4029</v>
      </c>
      <c r="F216" s="860">
        <v>44530</v>
      </c>
      <c r="G216" s="681" t="s">
        <v>1968</v>
      </c>
      <c r="H216" s="861" t="s">
        <v>4030</v>
      </c>
      <c r="I216" s="708" t="s">
        <v>1987</v>
      </c>
      <c r="J216" s="835" t="s">
        <v>1951</v>
      </c>
      <c r="K216" s="868">
        <v>650.41</v>
      </c>
      <c r="L216" s="707" t="s">
        <v>2289</v>
      </c>
      <c r="M216" s="707" t="s">
        <v>3327</v>
      </c>
      <c r="N216" s="860">
        <v>44525</v>
      </c>
      <c r="O216" s="684" t="s">
        <v>1968</v>
      </c>
      <c r="P216" s="957" t="s">
        <v>4031</v>
      </c>
      <c r="Q216" s="708" t="s">
        <v>1987</v>
      </c>
      <c r="R216" s="835" t="s">
        <v>1951</v>
      </c>
      <c r="S216" s="880">
        <v>307.7</v>
      </c>
      <c r="T216" s="59"/>
      <c r="U216" s="34"/>
      <c r="V216" s="34"/>
      <c r="W216" s="34"/>
      <c r="X216" s="34"/>
      <c r="Y216" s="34"/>
      <c r="Z216" s="149" t="s">
        <v>4032</v>
      </c>
      <c r="AA216" s="383">
        <v>200.94</v>
      </c>
      <c r="AB216" s="24" t="s">
        <v>4033</v>
      </c>
      <c r="AC216" s="24" t="s">
        <v>4034</v>
      </c>
      <c r="AD216" s="26"/>
      <c r="AE216" s="317">
        <f t="shared" si="3"/>
        <v>1159.05</v>
      </c>
      <c r="AF216" s="31" t="s">
        <v>4035</v>
      </c>
      <c r="AG216" s="39"/>
      <c r="AH216" s="51"/>
    </row>
    <row r="217" spans="1:34">
      <c r="F217" s="78"/>
      <c r="G217" s="295"/>
      <c r="P217" s="1085"/>
    </row>
    <row r="218" spans="1:34"/>
    <row r="219" spans="1:34" ht="15" customHeight="1">
      <c r="D219" s="177"/>
      <c r="E219" s="177"/>
      <c r="F219" s="483"/>
      <c r="G219" s="483"/>
      <c r="H219" s="816"/>
      <c r="I219" s="177"/>
      <c r="J219" s="177"/>
      <c r="K219" s="447"/>
    </row>
    <row r="220" spans="1:34" ht="15" customHeight="1">
      <c r="C220" s="177"/>
      <c r="D220" s="177"/>
      <c r="E220" s="177"/>
      <c r="F220" s="483"/>
      <c r="G220" s="483"/>
      <c r="H220" s="930"/>
      <c r="I220" s="177"/>
      <c r="J220" s="6"/>
      <c r="K220" s="712"/>
      <c r="L220" s="6"/>
      <c r="M220" s="6"/>
      <c r="N220" s="56"/>
      <c r="O220" s="55"/>
      <c r="P220" s="19"/>
      <c r="Q220" s="6"/>
      <c r="R220" s="6"/>
      <c r="S220" s="713"/>
    </row>
    <row r="221" spans="1:34" ht="15" customHeight="1">
      <c r="D221" s="177"/>
      <c r="E221" s="814"/>
      <c r="F221" s="483"/>
      <c r="G221" s="483"/>
      <c r="H221" s="814"/>
      <c r="I221" s="177"/>
      <c r="J221" s="177"/>
      <c r="K221" s="811"/>
      <c r="L221" s="714"/>
      <c r="M221" s="715"/>
      <c r="N221" s="716"/>
      <c r="O221" s="716"/>
      <c r="P221" s="715"/>
      <c r="Q221" s="714"/>
      <c r="R221" s="714"/>
      <c r="S221" s="717"/>
    </row>
    <row r="222" spans="1:34" ht="15" customHeight="1">
      <c r="A222" s="1150" t="s">
        <v>4036</v>
      </c>
      <c r="B222" s="1150"/>
      <c r="C222" s="1150"/>
      <c r="D222" s="1150"/>
      <c r="E222" s="1150"/>
      <c r="F222" s="1150"/>
      <c r="G222" s="1150"/>
      <c r="H222" s="19"/>
      <c r="I222" s="6"/>
      <c r="J222" s="6"/>
      <c r="K222" s="624"/>
      <c r="L222" s="6"/>
      <c r="M222" s="6"/>
      <c r="N222" s="56"/>
      <c r="O222" s="6"/>
      <c r="P222" s="19"/>
      <c r="Q222" s="6"/>
      <c r="R222" s="6"/>
      <c r="S222" s="713"/>
      <c r="T222" s="22"/>
      <c r="U222" s="22"/>
      <c r="V222" s="22"/>
      <c r="W222" s="22"/>
      <c r="X222" s="22"/>
    </row>
    <row r="223" spans="1:34" ht="15" customHeight="1">
      <c r="A223" s="729" t="s">
        <v>4037</v>
      </c>
      <c r="B223" s="729" t="s">
        <v>112</v>
      </c>
      <c r="C223" s="7" t="s">
        <v>466</v>
      </c>
      <c r="D223" s="8" t="s">
        <v>4038</v>
      </c>
      <c r="E223" s="8" t="s">
        <v>4039</v>
      </c>
      <c r="F223" s="78" t="s">
        <v>4040</v>
      </c>
      <c r="G223" s="849">
        <v>46156</v>
      </c>
      <c r="H223" s="19"/>
      <c r="I223" s="6"/>
      <c r="J223" s="6"/>
      <c r="K223" s="445"/>
      <c r="L223" s="724"/>
      <c r="M223" s="548"/>
      <c r="N223" s="718"/>
      <c r="O223" s="548"/>
      <c r="P223" s="720"/>
      <c r="Q223" s="548"/>
      <c r="R223" s="548"/>
      <c r="S223" s="719"/>
    </row>
    <row r="224" spans="1:34" ht="15" customHeight="1">
      <c r="A224" t="s">
        <v>1949</v>
      </c>
      <c r="B224" t="s">
        <v>58</v>
      </c>
      <c r="C224" t="s">
        <v>95</v>
      </c>
      <c r="D224" s="850" t="s">
        <v>4041</v>
      </c>
      <c r="E224" s="8" t="s">
        <v>2878</v>
      </c>
      <c r="F224" s="349" t="s">
        <v>2370</v>
      </c>
      <c r="G224" s="78">
        <v>46161</v>
      </c>
      <c r="H224" s="19" t="s">
        <v>4042</v>
      </c>
      <c r="I224" s="6"/>
      <c r="J224" s="6"/>
      <c r="K224" s="762"/>
      <c r="W224" s="399"/>
    </row>
    <row r="225" spans="1:19" ht="15" customHeight="1">
      <c r="A225" s="729"/>
      <c r="B225" s="729"/>
      <c r="C225" s="7"/>
      <c r="D225" s="8"/>
      <c r="E225" s="8"/>
      <c r="F225" s="7"/>
      <c r="G225" s="78"/>
      <c r="H225" s="19"/>
      <c r="I225" s="6"/>
      <c r="J225" s="6"/>
      <c r="K225" s="713"/>
    </row>
    <row r="226" spans="1:19" ht="15" customHeight="1">
      <c r="A226" s="729"/>
      <c r="B226" s="729"/>
      <c r="C226" s="7"/>
      <c r="D226" s="7"/>
      <c r="E226" s="7"/>
      <c r="F226" s="10"/>
      <c r="G226" s="7"/>
    </row>
    <row r="227" spans="1:19" ht="15" customHeight="1">
      <c r="C227" s="723"/>
    </row>
    <row r="228" spans="1:19" ht="15" customHeight="1">
      <c r="D228" s="6"/>
      <c r="E228" s="6"/>
      <c r="F228" s="55"/>
      <c r="G228" s="55"/>
      <c r="H228" s="19"/>
      <c r="I228" s="6"/>
      <c r="J228" s="6"/>
      <c r="K228" s="384"/>
    </row>
    <row r="234" spans="1:19" ht="15" customHeight="1">
      <c r="D234" s="6"/>
      <c r="E234" s="6"/>
      <c r="F234" s="55"/>
      <c r="G234" s="6"/>
      <c r="H234" s="19"/>
      <c r="I234" s="6"/>
      <c r="J234" s="6"/>
      <c r="K234" s="21"/>
    </row>
    <row r="236" spans="1:19" ht="15" customHeight="1">
      <c r="L236" s="6"/>
      <c r="M236" s="6"/>
      <c r="N236" s="56"/>
      <c r="O236" s="6"/>
      <c r="P236" s="19"/>
      <c r="Q236" s="6"/>
      <c r="R236" s="6"/>
      <c r="S236" s="22"/>
    </row>
  </sheetData>
  <autoFilter ref="A1:AH216" xr:uid="{87372DD4-9736-4032-A94E-7356A7780F28}"/>
  <mergeCells count="1">
    <mergeCell ref="A222:G222"/>
  </mergeCells>
  <hyperlinks>
    <hyperlink ref="P160" r:id="rId1" display="3,1248E+14" xr:uid="{35A5DD69-FFCF-4DF8-8F60-D247EC76A77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pane ySplit="1" topLeftCell="A2" activePane="bottomLeft" state="frozen"/>
      <selection pane="bottomLeft" activeCell="H10" sqref="H10:H13"/>
    </sheetView>
  </sheetViews>
  <sheetFormatPr defaultRowHeight="15" customHeight="1"/>
  <cols>
    <col min="1" max="1" width="12.7109375" bestFit="1" customWidth="1"/>
    <col min="2" max="3" width="19.42578125" customWidth="1"/>
    <col min="4" max="4" width="20.42578125" bestFit="1" customWidth="1"/>
    <col min="5" max="5" width="22" customWidth="1"/>
    <col min="6" max="6" width="32.28515625" hidden="1" customWidth="1"/>
    <col min="7" max="7" width="29.140625" bestFit="1" customWidth="1"/>
    <col min="8" max="8" width="27" bestFit="1" customWidth="1"/>
  </cols>
  <sheetData>
    <row r="1" spans="1:11">
      <c r="A1" s="173" t="s">
        <v>4043</v>
      </c>
      <c r="B1" s="173" t="s">
        <v>2295</v>
      </c>
      <c r="C1" s="173" t="s">
        <v>4044</v>
      </c>
      <c r="D1" s="173" t="s">
        <v>4045</v>
      </c>
      <c r="E1" s="173" t="s">
        <v>4046</v>
      </c>
      <c r="F1" s="288" t="s">
        <v>4047</v>
      </c>
      <c r="G1" s="14" t="s">
        <v>4047</v>
      </c>
      <c r="H1" s="8" t="s">
        <v>4048</v>
      </c>
      <c r="I1" t="s">
        <v>4049</v>
      </c>
    </row>
    <row r="2" spans="1:11">
      <c r="A2" s="186" t="s">
        <v>1950</v>
      </c>
      <c r="B2" s="3">
        <f t="shared" ref="B2:B9" si="0">SUM(C2:D2)</f>
        <v>4</v>
      </c>
      <c r="C2" s="185">
        <f>COUNTIF('Detalhes Links Lojas'!D2:D216,"Embratel") + COUNTIF('Detalhes Links Lojas'!L2:L216,"Embratel")</f>
        <v>4</v>
      </c>
      <c r="D2" s="3">
        <f>COUNTIF('Detalhes EC-EQX-CDs'!$A$2:AF7,"Embratel")</f>
        <v>0</v>
      </c>
      <c r="E2" s="174" t="s">
        <v>4050</v>
      </c>
      <c r="F2" s="289" t="s">
        <v>4051</v>
      </c>
      <c r="G2" s="9" t="s">
        <v>4052</v>
      </c>
      <c r="H2" s="7" t="s">
        <v>4053</v>
      </c>
      <c r="I2" t="s">
        <v>4054</v>
      </c>
      <c r="K2" t="s">
        <v>4055</v>
      </c>
    </row>
    <row r="3" spans="1:11">
      <c r="A3" s="186" t="s">
        <v>2284</v>
      </c>
      <c r="B3" s="3">
        <f t="shared" si="0"/>
        <v>176</v>
      </c>
      <c r="C3" s="185">
        <f>COUNTIF('Detalhes Links Lojas'!D3:D217,"Claro") + COUNTIF('Detalhes Links Lojas'!L3:L217,"Claro")</f>
        <v>174</v>
      </c>
      <c r="D3" s="3">
        <f>COUNTIF('Detalhes EC-EQX-CDs'!$A$2:AF8,"Claro")</f>
        <v>2</v>
      </c>
      <c r="E3" s="174" t="s">
        <v>4050</v>
      </c>
      <c r="F3" s="289"/>
      <c r="G3" s="9" t="s">
        <v>4052</v>
      </c>
      <c r="H3" s="7" t="s">
        <v>4053</v>
      </c>
      <c r="I3" t="s">
        <v>4054</v>
      </c>
      <c r="K3" t="s">
        <v>4055</v>
      </c>
    </row>
    <row r="4" spans="1:11">
      <c r="A4" s="187" t="s">
        <v>1954</v>
      </c>
      <c r="B4" s="3">
        <f t="shared" si="0"/>
        <v>80</v>
      </c>
      <c r="C4" s="185">
        <f>COUNTIF('Detalhes Links Lojas'!D2:D216,"Vivo") + COUNTIF('Detalhes Links Lojas'!L2:L216,"Vivo")</f>
        <v>76</v>
      </c>
      <c r="D4" s="3">
        <f>COUNTIF('Detalhes EC-EQX-CDs'!$A$2:AF9,"Vivo")</f>
        <v>4</v>
      </c>
      <c r="E4" s="3" t="s">
        <v>4056</v>
      </c>
      <c r="F4" s="290" t="s">
        <v>4057</v>
      </c>
      <c r="G4" s="9" t="s">
        <v>4058</v>
      </c>
      <c r="H4" s="7" t="s">
        <v>4059</v>
      </c>
      <c r="I4" t="s">
        <v>4060</v>
      </c>
    </row>
    <row r="5" spans="1:11">
      <c r="A5" s="187" t="s">
        <v>2285</v>
      </c>
      <c r="B5" s="3">
        <f t="shared" si="0"/>
        <v>29</v>
      </c>
      <c r="C5" s="185">
        <f>COUNTIF('Detalhes Links Lojas'!D2:D216,"Fibrion") + COUNTIF('Detalhes Links Lojas'!L2:L216,"Fibrion")</f>
        <v>28</v>
      </c>
      <c r="D5" s="3">
        <f>COUNTIF('Detalhes EC-EQX-CDs'!$A$2:AF10,"Fibrion")</f>
        <v>1</v>
      </c>
      <c r="E5" s="3" t="s">
        <v>4061</v>
      </c>
      <c r="F5" s="290" t="s">
        <v>4062</v>
      </c>
      <c r="G5" s="9" t="s">
        <v>4063</v>
      </c>
      <c r="H5" s="7" t="s">
        <v>4064</v>
      </c>
      <c r="I5" t="s">
        <v>4065</v>
      </c>
    </row>
    <row r="6" spans="1:11">
      <c r="A6" s="187" t="s">
        <v>2287</v>
      </c>
      <c r="B6" s="3">
        <f t="shared" si="0"/>
        <v>66</v>
      </c>
      <c r="C6" s="185">
        <f>COUNTIF('Detalhes Links Lojas'!D1:D216,"Vero") + COUNTIF('Detalhes Links Lojas'!L2:L216,"Vero")</f>
        <v>66</v>
      </c>
      <c r="D6" s="3">
        <f>COUNTIF('Detalhes EC-EQX-CDs'!$A$2:AF11,"Vero")</f>
        <v>0</v>
      </c>
      <c r="E6" s="3" t="s">
        <v>4066</v>
      </c>
      <c r="F6" s="290" t="s">
        <v>4067</v>
      </c>
      <c r="G6" s="181">
        <v>11935038242</v>
      </c>
      <c r="H6" s="12" t="s">
        <v>4068</v>
      </c>
      <c r="I6" s="12" t="s">
        <v>4069</v>
      </c>
    </row>
    <row r="7" spans="1:11">
      <c r="A7" s="187" t="s">
        <v>2286</v>
      </c>
      <c r="B7" s="3">
        <f t="shared" si="0"/>
        <v>25</v>
      </c>
      <c r="C7" s="3">
        <f>COUNTIF('Detalhes Links Lojas'!D2:D216,"Mundivox") + COUNTIF('Detalhes Links Lojas'!L2:L216,"Mundivox")</f>
        <v>24</v>
      </c>
      <c r="D7" s="3">
        <f>COUNTIF('Detalhes EC-EQX-CDs'!$A$2:AF12,"Mundivox")</f>
        <v>1</v>
      </c>
      <c r="E7" s="3" t="s">
        <v>4070</v>
      </c>
      <c r="F7" s="290" t="s">
        <v>4071</v>
      </c>
      <c r="G7" s="7" t="s">
        <v>4072</v>
      </c>
      <c r="H7" s="7" t="s">
        <v>4073</v>
      </c>
      <c r="I7" s="7" t="s">
        <v>4074</v>
      </c>
      <c r="J7" s="7"/>
      <c r="K7" s="7"/>
    </row>
    <row r="8" spans="1:11">
      <c r="A8" s="187" t="s">
        <v>2289</v>
      </c>
      <c r="B8" s="3">
        <f t="shared" si="0"/>
        <v>3</v>
      </c>
      <c r="C8" s="3">
        <f>COUNTIF('Detalhes Links Lojas'!D2:D216,"Oi") + COUNTIF('Detalhes Links Lojas'!L2:L216,"Oi")</f>
        <v>3</v>
      </c>
      <c r="D8" s="3">
        <f>COUNTIF('Detalhes EC-EQX-CDs'!$A$2:AF13,"Oi")</f>
        <v>0</v>
      </c>
      <c r="E8" s="3" t="s">
        <v>4075</v>
      </c>
      <c r="F8" s="290" t="s">
        <v>4076</v>
      </c>
      <c r="G8" s="101" t="s">
        <v>4077</v>
      </c>
      <c r="H8" s="11" t="s">
        <v>4078</v>
      </c>
      <c r="I8" t="s">
        <v>4079</v>
      </c>
    </row>
    <row r="9" spans="1:11">
      <c r="A9" s="187" t="s">
        <v>1956</v>
      </c>
      <c r="B9" s="3">
        <f t="shared" si="0"/>
        <v>24</v>
      </c>
      <c r="C9" s="3">
        <f>COUNTIF('Detalhes Links Lojas'!D2:D216,"Algar") + COUNTIF('Detalhes Links Lojas'!L2:L216,"Algar")</f>
        <v>21</v>
      </c>
      <c r="D9" s="3">
        <f>COUNTIF('Detalhes EC-EQX-CDs'!$A$2:AF14,"Algar")</f>
        <v>3</v>
      </c>
      <c r="E9" s="3" t="s">
        <v>4080</v>
      </c>
      <c r="F9" s="290" t="s">
        <v>4081</v>
      </c>
      <c r="G9" s="9" t="s">
        <v>4082</v>
      </c>
      <c r="H9" s="7" t="s">
        <v>4083</v>
      </c>
    </row>
    <row r="10" spans="1:11">
      <c r="A10" s="187" t="s">
        <v>2290</v>
      </c>
      <c r="B10" s="3">
        <f t="shared" ref="B10:B18" si="1">SUM(C10:D10)</f>
        <v>1</v>
      </c>
      <c r="C10" s="3">
        <f>COUNTIF('Detalhes Links Lojas'!D4:D219,"SEA Telecom") + COUNTIF('Detalhes Links Lojas'!L4:L219,"SEA Telecom")</f>
        <v>1</v>
      </c>
      <c r="D10" s="3">
        <f>COUNTIF('Detalhes EC-EQX-CDs'!$A$2:AF15,"Sea Telecom")</f>
        <v>0</v>
      </c>
      <c r="E10" s="3"/>
      <c r="F10" s="290"/>
      <c r="G10" s="9" t="s">
        <v>4084</v>
      </c>
      <c r="H10" s="9" t="s">
        <v>4084</v>
      </c>
    </row>
    <row r="11" spans="1:11">
      <c r="A11" s="187" t="s">
        <v>2292</v>
      </c>
      <c r="B11" s="3">
        <f t="shared" si="1"/>
        <v>2</v>
      </c>
      <c r="C11" s="3">
        <f>COUNTIF('Detalhes Links Lojas'!D5:D220,"SP18") + COUNTIF('Detalhes Links Lojas'!L5:L220,"SP18")</f>
        <v>2</v>
      </c>
      <c r="D11" s="3">
        <f>COUNTIF('Detalhes EC-EQX-CDs'!$A$2:AF16,"SP18")</f>
        <v>0</v>
      </c>
      <c r="E11" s="3" t="s">
        <v>4085</v>
      </c>
      <c r="F11" s="290"/>
      <c r="G11" s="9" t="s">
        <v>4086</v>
      </c>
      <c r="H11" s="7"/>
    </row>
    <row r="12" spans="1:11">
      <c r="A12" s="187" t="s">
        <v>2293</v>
      </c>
      <c r="B12" s="3">
        <f t="shared" si="1"/>
        <v>2</v>
      </c>
      <c r="C12" s="3">
        <f>COUNTIF('Detalhes Links Lojas'!D6:D221,"Tesa") + COUNTIF('Detalhes Links Lojas'!L6:L221,"Tesa")</f>
        <v>2</v>
      </c>
      <c r="D12" s="3">
        <f>COUNTIF('Detalhes EC-EQX-CDs'!$A$2:AF17,"Tesa")</f>
        <v>0</v>
      </c>
      <c r="E12" s="3" t="s">
        <v>4087</v>
      </c>
      <c r="F12" s="292" t="s">
        <v>4088</v>
      </c>
      <c r="G12" s="83">
        <v>8000383838</v>
      </c>
      <c r="H12" s="83" t="s">
        <v>4089</v>
      </c>
    </row>
    <row r="13" spans="1:11">
      <c r="A13" s="187" t="s">
        <v>2294</v>
      </c>
      <c r="B13" s="3">
        <f t="shared" si="1"/>
        <v>1</v>
      </c>
      <c r="C13" s="3">
        <f>COUNTIF('Detalhes Links Lojas'!D2:D216,"Wipi") + COUNTIF('Detalhes Links Lojas'!L2:L216,"Wipi")</f>
        <v>1</v>
      </c>
      <c r="D13" s="3">
        <f>COUNTIF('Detalhes EC-EQX-CDs'!$A$2:AF18,"Wipi")</f>
        <v>0</v>
      </c>
      <c r="E13" s="154"/>
      <c r="F13" s="291"/>
      <c r="G13" s="181">
        <v>8000710000</v>
      </c>
      <c r="H13" s="12"/>
    </row>
    <row r="14" spans="1:11">
      <c r="A14" s="1097" t="s">
        <v>2288</v>
      </c>
      <c r="B14" s="3">
        <f t="shared" si="1"/>
        <v>1</v>
      </c>
      <c r="C14" s="3">
        <f>COUNTIF('Detalhes Links Lojas'!D2:D216,"Megatelecom") + COUNTIF('Detalhes Links Lojas'!L2:L216,"Megatelecom")</f>
        <v>0</v>
      </c>
      <c r="D14" s="3">
        <f>COUNTIF('Detalhes EC-EQX-CDs'!$A$2:AF19,"Megatelecom")</f>
        <v>1</v>
      </c>
      <c r="E14" s="3"/>
      <c r="F14" s="3"/>
      <c r="G14" s="8" t="s">
        <v>4090</v>
      </c>
      <c r="H14" s="8" t="s">
        <v>4090</v>
      </c>
    </row>
    <row r="15" spans="1:11">
      <c r="A15" s="1097" t="s">
        <v>2296</v>
      </c>
      <c r="B15" s="3">
        <f t="shared" si="1"/>
        <v>1</v>
      </c>
      <c r="C15" s="3">
        <f>COUNTIF('Detalhes Links Lojas'!D2:D216,"WFT/AST") + COUNTIF('Detalhes Links Lojas'!L2:L216,"WFT/AST")</f>
        <v>1</v>
      </c>
      <c r="D15" s="3">
        <f>COUNTIF('Detalhes EC-EQX-CDs'!$A$2:AF20,"WFT/AST")</f>
        <v>0</v>
      </c>
      <c r="E15" s="3" t="s">
        <v>4091</v>
      </c>
      <c r="F15" s="3" t="s">
        <v>4092</v>
      </c>
      <c r="G15" s="8" t="s">
        <v>4093</v>
      </c>
      <c r="H15" s="8" t="s">
        <v>4094</v>
      </c>
    </row>
    <row r="16" spans="1:11">
      <c r="A16" s="1097" t="s">
        <v>2297</v>
      </c>
      <c r="B16" s="3">
        <f t="shared" si="1"/>
        <v>21</v>
      </c>
      <c r="C16" s="3">
        <f>COUNTIF('Detalhes Links Lojas'!D2:D216,"Vtal") + COUNTIF('Detalhes Links Lojas'!L2:L216,"Vtal")</f>
        <v>21</v>
      </c>
      <c r="D16" s="3">
        <f>COUNTIF('Detalhes EC-EQX-CDs'!$A$2:AF21,"Vtal")</f>
        <v>0</v>
      </c>
      <c r="E16" s="3" t="s">
        <v>4095</v>
      </c>
      <c r="F16" s="3"/>
      <c r="G16" s="8" t="s">
        <v>4096</v>
      </c>
      <c r="H16" s="8" t="s">
        <v>4097</v>
      </c>
      <c r="I16" t="s">
        <v>4098</v>
      </c>
    </row>
    <row r="17" spans="1:9">
      <c r="A17" s="1097" t="s">
        <v>2299</v>
      </c>
      <c r="B17" s="3">
        <f t="shared" si="1"/>
        <v>3</v>
      </c>
      <c r="C17" s="3">
        <f>COUNTIF('Detalhes Links Lojas'!D2:D216,"Irapido") + COUNTIF('Detalhes Links Lojas'!L2:L216,"Irapido")</f>
        <v>3</v>
      </c>
      <c r="D17" s="3">
        <f>COUNTIF('Detalhes EC-EQX-CDs'!$A$2:AF22,"ITS Brasil")</f>
        <v>0</v>
      </c>
      <c r="E17" s="154" t="s">
        <v>4099</v>
      </c>
      <c r="F17" s="154"/>
      <c r="G17" s="17" t="s">
        <v>4100</v>
      </c>
      <c r="H17" s="8" t="s">
        <v>4101</v>
      </c>
    </row>
    <row r="18" spans="1:9">
      <c r="A18" s="1097" t="s">
        <v>2300</v>
      </c>
      <c r="B18" s="3">
        <f t="shared" si="1"/>
        <v>1</v>
      </c>
      <c r="C18" s="3">
        <f>COUNTIF('Detalhes Links Lojas'!D3:D217,"ITS Brasil") + COUNTIF('Detalhes Links Lojas'!L3:L217,"ITS Brasil")</f>
        <v>1</v>
      </c>
      <c r="D18" s="3">
        <f>COUNTIF('Detalhes EC-EQX-CDs'!$A$2:AF23,"Irapido")</f>
        <v>0</v>
      </c>
      <c r="E18" s="3" t="s">
        <v>4102</v>
      </c>
      <c r="F18" s="3"/>
      <c r="G18" s="8" t="s">
        <v>4103</v>
      </c>
      <c r="H18" s="68" t="s">
        <v>4104</v>
      </c>
      <c r="I18" s="809" t="s">
        <v>4105</v>
      </c>
    </row>
    <row r="19" spans="1:9">
      <c r="A19" s="175" t="s">
        <v>24</v>
      </c>
      <c r="B19" s="175">
        <f>SUM(B2:B17)</f>
        <v>439</v>
      </c>
      <c r="C19" s="187">
        <f>SUM(C2:C17)</f>
        <v>427</v>
      </c>
      <c r="D19" s="175">
        <f>SUM(D2:D17)</f>
        <v>12</v>
      </c>
      <c r="E19" s="177"/>
      <c r="F19" s="177"/>
    </row>
    <row r="26" spans="1:9" ht="15" customHeight="1">
      <c r="A26" s="6"/>
      <c r="B26" s="6"/>
      <c r="C26" s="6"/>
      <c r="D26" s="6"/>
      <c r="E26" s="6"/>
      <c r="F26" s="6"/>
      <c r="G26" s="6"/>
      <c r="H26" s="6"/>
    </row>
    <row r="27" spans="1:9" ht="15" customHeight="1">
      <c r="A27" s="6"/>
      <c r="D27" s="177"/>
    </row>
    <row r="28" spans="1:9" ht="15" customHeight="1">
      <c r="A28" s="6"/>
      <c r="B28" s="6"/>
      <c r="C28" s="6"/>
      <c r="D28" s="6"/>
    </row>
    <row r="29" spans="1:9" ht="15" customHeight="1">
      <c r="A29" s="6"/>
      <c r="B29" s="6"/>
      <c r="C29" s="6"/>
      <c r="D29" s="6"/>
    </row>
    <row r="30" spans="1:9" ht="15" customHeight="1">
      <c r="A30" s="6"/>
      <c r="B30" s="6"/>
      <c r="C30" s="6"/>
    </row>
    <row r="31" spans="1:9" ht="15" customHeight="1">
      <c r="A31" s="6"/>
      <c r="B31" s="6"/>
      <c r="C31" s="6"/>
    </row>
    <row r="32" spans="1:9" ht="15" customHeight="1">
      <c r="A32" s="6"/>
      <c r="B32" s="2"/>
      <c r="C32" s="2"/>
    </row>
    <row r="33" spans="2:3" ht="15" customHeight="1">
      <c r="B33" s="1151"/>
      <c r="C33" s="1152"/>
    </row>
  </sheetData>
  <mergeCells count="1">
    <mergeCell ref="B33:C33"/>
  </mergeCells>
  <hyperlinks>
    <hyperlink ref="I18" r:id="rId1" xr:uid="{51C1251D-B96E-42A6-9662-FFDAEA0FB1CA}"/>
  </hyperlinks>
  <pageMargins left="0.7" right="0.7" top="0.75" bottom="0.75" header="0.3" footer="0.3"/>
  <headerFooter>
    <oddFooter>&amp;R_x000D_&amp;1#&amp;"Calibri"&amp;10&amp;K000000 Classificação Interna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FB43586098D6409336F9F66444085F" ma:contentTypeVersion="14" ma:contentTypeDescription="Crie um novo documento." ma:contentTypeScope="" ma:versionID="b685ba425e091af4781f6a26ec591290">
  <xsd:schema xmlns:xsd="http://www.w3.org/2001/XMLSchema" xmlns:xs="http://www.w3.org/2001/XMLSchema" xmlns:p="http://schemas.microsoft.com/office/2006/metadata/properties" xmlns:ns2="d194e511-d2d9-468f-b33b-1f409cf0d56d" xmlns:ns3="39eb5315-96ec-474e-bc03-3c40cf2e327a" targetNamespace="http://schemas.microsoft.com/office/2006/metadata/properties" ma:root="true" ma:fieldsID="178cee1ef215ef2e94364021abab9e46" ns2:_="" ns3:_="">
    <xsd:import namespace="d194e511-d2d9-468f-b33b-1f409cf0d56d"/>
    <xsd:import namespace="39eb5315-96ec-474e-bc03-3c40cf2e32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4e511-d2d9-468f-b33b-1f409cf0d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a255c8-8734-49c5-8488-e6f44cd29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b5315-96ec-474e-bc03-3c40cf2e327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57d9af4-97fa-4519-8afc-3af8d72c49d7}" ma:internalName="TaxCatchAll" ma:showField="CatchAllData" ma:web="39eb5315-96ec-474e-bc03-3c40cf2e32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b5315-96ec-474e-bc03-3c40cf2e327a" xsi:nil="true"/>
    <lcf76f155ced4ddcb4097134ff3c332f xmlns="d194e511-d2d9-468f-b33b-1f409cf0d5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E2C99B-24BD-4123-BCB8-4C44543A5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94e511-d2d9-468f-b33b-1f409cf0d56d"/>
    <ds:schemaRef ds:uri="39eb5315-96ec-474e-bc03-3c40cf2e3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8092AF-A10A-414C-830C-D2350522EC5A}">
  <ds:schemaRefs>
    <ds:schemaRef ds:uri="http://schemas.microsoft.com/office/2006/metadata/properties"/>
    <ds:schemaRef ds:uri="http://schemas.microsoft.com/office/infopath/2007/PartnerControls"/>
    <ds:schemaRef ds:uri="39eb5315-96ec-474e-bc03-3c40cf2e327a"/>
    <ds:schemaRef ds:uri="d194e511-d2d9-468f-b33b-1f409cf0d56d"/>
  </ds:schemaRefs>
</ds:datastoreItem>
</file>

<file path=customXml/itemProps3.xml><?xml version="1.0" encoding="utf-8"?>
<ds:datastoreItem xmlns:ds="http://schemas.openxmlformats.org/officeDocument/2006/customXml" ds:itemID="{DFC04474-174F-4DEA-B2D8-D7CA05AE83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Dash_Lojas</vt:lpstr>
      <vt:lpstr>Info_Loja</vt:lpstr>
      <vt:lpstr>Telefonia Fixa</vt:lpstr>
      <vt:lpstr>Telefonia Ip - Lojas</vt:lpstr>
      <vt:lpstr>EC-Tivit-CDs</vt:lpstr>
      <vt:lpstr>Telefonia Móvel</vt:lpstr>
      <vt:lpstr>Dash_Custo</vt:lpstr>
      <vt:lpstr>Dash-EC-EQX-CDs </vt:lpstr>
      <vt:lpstr>Espelho EC-CDs-2025</vt:lpstr>
      <vt:lpstr>PPOE Lojas</vt:lpstr>
      <vt:lpstr>Por Loja</vt:lpstr>
      <vt:lpstr>Ips Link Novos</vt:lpstr>
      <vt:lpstr>Detalhes EC-EQX-CDs</vt:lpstr>
      <vt:lpstr>Detalhes Links Lojas</vt:lpstr>
      <vt:lpstr>Resumo_Links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Fabiana Aparecida Rangel Medeiros</dc:creator>
  <cp:keywords/>
  <dc:description/>
  <cp:lastModifiedBy>Anailton Barbosa Pinto</cp:lastModifiedBy>
  <cp:revision/>
  <dcterms:created xsi:type="dcterms:W3CDTF">2024-06-20T14:49:25Z</dcterms:created>
  <dcterms:modified xsi:type="dcterms:W3CDTF">2026-08-19T18:58:32Z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450225-3ba2-475e-9f38-1fb492461405_Enabled">
    <vt:lpwstr>true</vt:lpwstr>
  </property>
  <property fmtid="{D5CDD505-2E9C-101B-9397-08002B2CF9AE}" pid="3" name="MSIP_Label_49450225-3ba2-475e-9f38-1fb492461405_SetDate">
    <vt:lpwstr>2024-06-20T14:49:57Z</vt:lpwstr>
  </property>
  <property fmtid="{D5CDD505-2E9C-101B-9397-08002B2CF9AE}" pid="4" name="MSIP_Label_49450225-3ba2-475e-9f38-1fb492461405_Method">
    <vt:lpwstr>Privileged</vt:lpwstr>
  </property>
  <property fmtid="{D5CDD505-2E9C-101B-9397-08002B2CF9AE}" pid="5" name="MSIP_Label_49450225-3ba2-475e-9f38-1fb492461405_Name">
    <vt:lpwstr>Interno</vt:lpwstr>
  </property>
  <property fmtid="{D5CDD505-2E9C-101B-9397-08002B2CF9AE}" pid="6" name="MSIP_Label_49450225-3ba2-475e-9f38-1fb492461405_SiteId">
    <vt:lpwstr>f304c535-573b-44d3-8e86-3d78cbe82b05</vt:lpwstr>
  </property>
  <property fmtid="{D5CDD505-2E9C-101B-9397-08002B2CF9AE}" pid="7" name="MSIP_Label_49450225-3ba2-475e-9f38-1fb492461405_ActionId">
    <vt:lpwstr>469be8ad-8d68-4372-8964-8d6e17551c15</vt:lpwstr>
  </property>
  <property fmtid="{D5CDD505-2E9C-101B-9397-08002B2CF9AE}" pid="8" name="MSIP_Label_49450225-3ba2-475e-9f38-1fb492461405_ContentBits">
    <vt:lpwstr>2</vt:lpwstr>
  </property>
  <property fmtid="{D5CDD505-2E9C-101B-9397-08002B2CF9AE}" pid="9" name="ContentTypeId">
    <vt:lpwstr>0x01010051FB43586098D6409336F9F66444085F</vt:lpwstr>
  </property>
  <property fmtid="{D5CDD505-2E9C-101B-9397-08002B2CF9AE}" pid="10" name="_dlc_DocIdItemGuid">
    <vt:lpwstr>854b59e9-3afb-48af-8dbd-eabba0b542b4</vt:lpwstr>
  </property>
  <property fmtid="{D5CDD505-2E9C-101B-9397-08002B2CF9AE}" pid="11" name="MediaServiceImageTags">
    <vt:lpwstr/>
  </property>
</Properties>
</file>